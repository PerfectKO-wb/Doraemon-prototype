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Total" sheetId="1" r:id="rId1"/>
    <sheet name="于静" sheetId="2" r:id="rId2"/>
    <sheet name="林桐" sheetId="3" r:id="rId3"/>
    <sheet name="李永亮" sheetId="4" r:id="rId4"/>
    <sheet name="佟" sheetId="5" r:id="rId5"/>
    <sheet name="黄哲超" sheetId="6" r:id="rId6"/>
  </sheets>
  <calcPr calcId="0"/>
</workbook>
</file>

<file path=xl/sharedStrings.xml><?xml version="1.0" encoding="utf-8"?>
<sst xmlns="http://schemas.openxmlformats.org/spreadsheetml/2006/main">
  <si>
    <t>姓名</t>
  </si>
  <si>
    <t>金额</t>
  </si>
  <si>
    <t>佟</t>
  </si>
  <si>
    <t>林桐</t>
  </si>
  <si>
    <t>于静</t>
  </si>
  <si>
    <t>李永亮</t>
  </si>
  <si>
    <t>黄哲超</t>
  </si>
  <si>
    <t>合计</t>
  </si>
  <si>
    <t>5月费用报销单</t>
  </si>
  <si>
    <t>报销人：</t>
  </si>
  <si>
    <t>申报日期：</t>
  </si>
  <si>
    <t>开票日期</t>
  </si>
  <si>
    <t>消费日期</t>
  </si>
  <si>
    <t>项目类型</t>
  </si>
  <si>
    <t>费用内容支出说明</t>
  </si>
  <si>
    <t>金额(人民币元)</t>
  </si>
  <si>
    <t>发票金额</t>
  </si>
  <si>
    <t>备注</t>
  </si>
  <si>
    <t>实际内容支出说明</t>
  </si>
  <si>
    <t>发票开具主体</t>
  </si>
  <si>
    <t>发票编号索引（例）</t>
  </si>
  <si>
    <t>员工福利</t>
  </si>
  <si>
    <t>休闲食品</t>
  </si>
  <si>
    <t>好特卖零食19箱</t>
  </si>
  <si>
    <t>咖啡豆</t>
  </si>
  <si>
    <t>办公用品</t>
  </si>
  <si>
    <t>单人沙发</t>
  </si>
  <si>
    <t>芝华仕单人躺椅</t>
  </si>
  <si>
    <t>纸质杯子</t>
  </si>
  <si>
    <t>500个ctw一次性纸杯</t>
  </si>
  <si>
    <t>饮料</t>
  </si>
  <si>
    <t>70箱饮料</t>
  </si>
  <si>
    <t>奶茶粉</t>
  </si>
  <si>
    <t>消毒湿巾</t>
  </si>
  <si>
    <t>75度酒精湿巾</t>
  </si>
  <si>
    <t>乳制品</t>
  </si>
  <si>
    <t>小象超市酸奶</t>
  </si>
  <si>
    <t>无形资产</t>
  </si>
  <si>
    <t>小象超市会员卡</t>
  </si>
  <si>
    <t>日用杂品</t>
  </si>
  <si>
    <t>润本驱蚊液+止痒棒（车上使用）</t>
  </si>
  <si>
    <t>口腔清洁护理品</t>
  </si>
  <si>
    <t>淘宝-小鹿妈妈漱口水</t>
  </si>
  <si>
    <t>易拉扣</t>
  </si>
  <si>
    <t>伸缩扣卡包绳</t>
  </si>
  <si>
    <t>香包</t>
  </si>
  <si>
    <t>除味包</t>
  </si>
  <si>
    <t>一次性口罩</t>
  </si>
  <si>
    <t>玻璃贴</t>
  </si>
  <si>
    <t>会议室门贴，发票1472.9</t>
  </si>
  <si>
    <t>飞镖盘</t>
  </si>
  <si>
    <t>零食酸奶</t>
  </si>
  <si>
    <t>小象超市-酸奶</t>
  </si>
  <si>
    <t>零食</t>
  </si>
  <si>
    <t>山姆-零食</t>
  </si>
  <si>
    <t>差旅费</t>
  </si>
  <si>
    <t>客运服务费</t>
  </si>
  <si>
    <t>顾子矜打车费</t>
  </si>
  <si>
    <t>预售卡充值</t>
  </si>
  <si>
    <t>充值100用于抵扣顺丰快递费</t>
  </si>
  <si>
    <t>日用百货</t>
  </si>
  <si>
    <t>防虫雪松木条</t>
  </si>
  <si>
    <t>刘皓楠打车费</t>
  </si>
  <si>
    <t>范桢打车费</t>
  </si>
  <si>
    <t>脚垫</t>
  </si>
  <si>
    <t>卫生间门口地毯</t>
  </si>
  <si>
    <t>镜子</t>
  </si>
  <si>
    <t>日杂用品</t>
  </si>
  <si>
    <t>艾草贴</t>
  </si>
  <si>
    <t>酸奶</t>
  </si>
  <si>
    <t>纸制品</t>
  </si>
  <si>
    <t>发票</t>
  </si>
  <si>
    <t>休息室茶几</t>
  </si>
  <si>
    <t>维达抽纸4箱</t>
  </si>
  <si>
    <t>口香糖</t>
  </si>
  <si>
    <t>心相印溶厕纸</t>
  </si>
  <si>
    <t>人民币大写</t>
  </si>
  <si>
    <t>贰万肆仟肆佰叁拾玖元伍角捌分</t>
  </si>
  <si>
    <t>负责人：</t>
  </si>
  <si>
    <t>佟海日汉</t>
  </si>
  <si>
    <t>其他食品</t>
  </si>
  <si>
    <t>5月宿舍保洁7次</t>
  </si>
  <si>
    <t>5-8-10-13-16-18-19</t>
  </si>
  <si>
    <t>照相器材</t>
  </si>
  <si>
    <t>ipad支架</t>
  </si>
  <si>
    <t>手机支架</t>
  </si>
  <si>
    <t>豆浆3杯</t>
  </si>
  <si>
    <t>接待费用</t>
  </si>
  <si>
    <t>餐饮服务</t>
  </si>
  <si>
    <t>咖啡8杯</t>
  </si>
  <si>
    <t>洗发</t>
  </si>
  <si>
    <t>餐饮费</t>
  </si>
  <si>
    <t>OT奶茶</t>
  </si>
  <si>
    <t>上海菜品冠</t>
  </si>
  <si>
    <t>宿舍门牌号</t>
  </si>
  <si>
    <t>午餐淮扬菜</t>
  </si>
  <si>
    <t>床上用品</t>
  </si>
  <si>
    <t>宿舍床上用品</t>
  </si>
  <si>
    <t>宿舍脏衣框</t>
  </si>
  <si>
    <t>生产生活服务</t>
  </si>
  <si>
    <t>6月10号密室</t>
  </si>
  <si>
    <t>豆浆茶叶蛋</t>
  </si>
  <si>
    <t>掼蛋发牌机</t>
  </si>
  <si>
    <t>餐饮</t>
  </si>
  <si>
    <t>纺织产品</t>
  </si>
  <si>
    <t>宿舍一次性浴巾</t>
  </si>
  <si>
    <t>宿舍一次性牙刷</t>
  </si>
  <si>
    <t>玩具</t>
  </si>
  <si>
    <t>宿舍整蛊道具</t>
  </si>
  <si>
    <t>23-1;23-2</t>
  </si>
  <si>
    <t>云南火锅</t>
  </si>
  <si>
    <t>手护理</t>
  </si>
  <si>
    <t>25-32-43-45</t>
  </si>
  <si>
    <t>美容护肤</t>
  </si>
  <si>
    <t>宿舍护理品洗发水沐浴露护发素</t>
  </si>
  <si>
    <t>26-1;26-2;26-3;26-4</t>
  </si>
  <si>
    <t>电子元件</t>
  </si>
  <si>
    <t>电子配件充电宝防睡眠器</t>
  </si>
  <si>
    <t>矿泉水</t>
  </si>
  <si>
    <t>宿舍矿泉水两箱</t>
  </si>
  <si>
    <t>其他化学品消毒液</t>
  </si>
  <si>
    <t>宿舍消毒水</t>
  </si>
  <si>
    <t>宿舍清洁毛巾</t>
  </si>
  <si>
    <t>宫宴6/23</t>
  </si>
  <si>
    <t>31-1;31-2;31-3</t>
  </si>
  <si>
    <t>工艺品</t>
  </si>
  <si>
    <t>定制画一幅</t>
  </si>
  <si>
    <t>现代服务费</t>
  </si>
  <si>
    <t>密室</t>
  </si>
  <si>
    <t>宿舍水电煤</t>
  </si>
  <si>
    <t>团建聚餐</t>
  </si>
  <si>
    <t>地毯其他日用品</t>
  </si>
  <si>
    <t>文化服务</t>
  </si>
  <si>
    <t>狼人杀</t>
  </si>
  <si>
    <t>家用电器</t>
  </si>
  <si>
    <t>宿舍挂烫机</t>
  </si>
  <si>
    <t>晚餐文鸽苑</t>
  </si>
  <si>
    <t>午餐新疆菜</t>
  </si>
  <si>
    <t>团建密室逃脱</t>
  </si>
  <si>
    <t>团建外卖</t>
  </si>
  <si>
    <t>团建密室瞳灵人</t>
  </si>
  <si>
    <t>贴纸刮板</t>
  </si>
  <si>
    <t>纱窗定制防蚊</t>
  </si>
  <si>
    <t>6.11密室</t>
  </si>
  <si>
    <t>交通费</t>
  </si>
  <si>
    <t>运输服务费</t>
  </si>
  <si>
    <t>自如保洁充值11次四小时</t>
  </si>
  <si>
    <t>50-1;50-2;50-3</t>
  </si>
  <si>
    <t>收派服务费</t>
  </si>
  <si>
    <t>快递费宿舍喷雾,钥匙</t>
  </si>
  <si>
    <t>51-1;51-2</t>
  </si>
  <si>
    <t>肆万零肆佰贰拾捌元壹角肆分</t>
  </si>
  <si>
    <t>车辆费</t>
  </si>
  <si>
    <t>租车费</t>
  </si>
  <si>
    <t>洗车费</t>
  </si>
  <si>
    <t>停车费（世纪公园）</t>
  </si>
  <si>
    <t>停车费(滨江）</t>
  </si>
  <si>
    <t>停车费(滨江）（陆家嘴中心）</t>
  </si>
  <si>
    <t>停车费（世纪汇）</t>
  </si>
  <si>
    <t>停车费(尚嘉中心）（滨江）</t>
  </si>
  <si>
    <t>停车费(恒丰路）</t>
  </si>
  <si>
    <t>停车费(滨江）（金科路）</t>
  </si>
  <si>
    <t>停车费(滨江）（嘉定绿洲）</t>
  </si>
  <si>
    <t>停车费（滨江）</t>
  </si>
  <si>
    <t>停车费(尚嘉中心）（光音广场）</t>
  </si>
  <si>
    <t>停车费（滨江）（共青公园）</t>
  </si>
  <si>
    <t>停车费(滨江）（东方路）</t>
  </si>
  <si>
    <t>停车费(滨江）（光音广场）</t>
  </si>
  <si>
    <t>停车费（滨江）（尚嘉中心）</t>
  </si>
  <si>
    <t>停车费(国金）</t>
  </si>
  <si>
    <t>停车费（东靖路）</t>
  </si>
  <si>
    <t>停车费(苏河1号）（汉中路）</t>
  </si>
  <si>
    <t>停车费(中江路）</t>
  </si>
  <si>
    <t>停车费(苏河1号）</t>
  </si>
  <si>
    <t>停车费（尚嘉中心）（我格广场）</t>
  </si>
  <si>
    <t>停车费（滨江）（世纪汇）</t>
  </si>
  <si>
    <t>餐费</t>
  </si>
  <si>
    <t>住房补贴</t>
  </si>
  <si>
    <t>37（1）</t>
  </si>
  <si>
    <t>37（2）</t>
  </si>
  <si>
    <t>充电服务费</t>
  </si>
  <si>
    <t>1083.66+129.29+236.77</t>
  </si>
  <si>
    <t>充电</t>
  </si>
  <si>
    <t>伍仟零玖拾肆元柒角贰分</t>
  </si>
  <si>
    <t>上海悦寰餐饮管理有限公司</t>
  </si>
  <si>
    <t>上海耶里夏丽餐饮管理有限公司</t>
  </si>
  <si>
    <t>上海万翠堂餐饮管理有限公司</t>
  </si>
  <si>
    <t>上海怡然浅深投资管理有限公司</t>
  </si>
  <si>
    <t>上海市静安区淄燃餐厅</t>
  </si>
  <si>
    <r>
      <rPr>
        <color rgb="FF000000"/>
        <rFont val="Microsoft YaHei UI"/>
        <sz val="11"/>
      </rPr>
      <t xml:space="preserve">上海汤郑兴餐饮</t>
    </r>
    <r>
      <rPr>
        <color rgb="FF000000"/>
        <rFont val="Calibri"/>
        <sz val="11"/>
      </rPr>
      <t xml:space="preserve"> </t>
    </r>
    <r>
      <rPr>
        <color rgb="FF000000"/>
        <rFont val="Microsoft YaHei UI"/>
        <sz val="11"/>
      </rPr>
      <t xml:space="preserve">管理有限公司</t>
    </r>
  </si>
  <si>
    <t>上海梵盛餐饮管理有限公司</t>
  </si>
  <si>
    <r>
      <rPr>
        <color rgb="FF000000"/>
        <rFont val="等线"/>
        <sz val="11"/>
      </rPr>
      <t xml:space="preserve">上海煜荟餐饮服务有限公司</t>
    </r>
  </si>
  <si>
    <t>陆仟柒佰叁拾贰元整</t>
  </si>
  <si>
    <t>入职体检费用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</si>
</sst>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¥-411]#,##0.00"/>
    <numFmt numFmtId="165" formatCode="&quot;￥&quot;#,##0.00;[Red]&quot;￥&quot;\-#,##0.00"/>
    <numFmt numFmtId="166" formatCode="\¥#,##0.00;[Red]\¥\-#,##0.00"/>
    <numFmt numFmtId="167" formatCode="[DBNum2]0"/>
    <numFmt numFmtId="168" formatCode="[DBNum2]0&quot;佰&quot;0&quot;拾&quot;0&quot;万&quot;0&quot;仟&quot;0&quot;佰&quot;0&quot;拾&quot;0&quot;元&quot;0&quot;角&quot;0&quot;分&quot;"/>
    <numFmt numFmtId="169" formatCode="[DBNum2]0&quot;万&quot;0&quot;仟&quot;0&quot;佰&quot;0&quot;拾&quot;0&quot;元&quot;0&quot;角&quot;0&quot;分&quot;"/>
    <numFmt numFmtId="170" formatCode="&quot;￥&quot;#,##0.00_);[Red]\(&quot;￥&quot;#,##0.00\)"/>
    <numFmt numFmtId="171" formatCode="yyyy/m/d;@"/>
    <numFmt numFmtId="172" formatCode="_ * #,##0.00_ ;_ * \-#,##0.00_ ;_ * &quot;-&quot;??_ ;_ @_ "/>
  </numFmts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</font>
    <font>
      <sz val="11"/>
      <color rgb="FF000000"/>
      <name val="Noto Sans SC"/>
    </font>
    <font>
      <b/>
      <sz val="11"/>
      <color rgb="FF000000"/>
      <name val="Noto Sans SC"/>
    </font>
    <font>
      <sz val="11"/>
      <color rgb="FF000000"/>
      <name val="微软雅黑"/>
    </font>
    <font>
      <sz val="12"/>
      <color rgb="FF000000"/>
      <name val="DengXian"/>
    </font>
    <font>
      <sz val="12"/>
      <color rgb="FF000000"/>
      <name val="SimSun"/>
    </font>
    <font>
      <sz val="11"/>
      <color rgb="FF000000"/>
      <name val="Microsoft Yahei"/>
    </font>
    <font>
      <b/>
      <sz val="18"/>
      <color rgb="FF000000"/>
      <name val="Noto Sans SC"/>
    </font>
    <font>
      <sz val="18"/>
      <color rgb="FF000000"/>
      <name val="Noto Sans SC"/>
    </font>
    <font>
      <sz val="11"/>
      <color rgb="FF000000"/>
      <name val="Microsoft YaHei"/>
    </font>
    <font>
      <sz val="10"/>
      <color rgb="FF000000"/>
      <name val="等线"/>
    </font>
    <font>
      <sz val="11"/>
      <color rgb="FF000000"/>
      <name val="Calibri"/>
    </font>
    <font>
      <sz val="12"/>
      <color rgb="FF0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right" vertical="center" wrapText="1"/>
    </xf>
    <xf numFmtId="14" fontId="5" fillId="0" borderId="1" xfId="0" applyNumberFormat="1" applyFont="1" applyBorder="1" applyProtection="1">
      <alignment horizontal="left" vertical="center" wrapText="1"/>
    </xf>
    <xf numFmtId="0" fontId="6" fillId="0" borderId="2" xfId="0" applyFont="1" applyBorder="1" applyProtection="1">
      <alignment horizontal="center" vertical="center" wrapText="1"/>
    </xf>
    <xf numFmtId="14" fontId="5" fillId="2" borderId="2" xfId="0" applyNumberFormat="1" applyFont="1" applyFill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 wrapText="1"/>
    </xf>
    <xf numFmtId="0" fontId="5" fillId="2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165" fontId="5" fillId="0" borderId="2" xfId="0" applyNumberFormat="1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165" fontId="5" fillId="0" borderId="2" xfId="0" applyNumberFormat="1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164" fontId="5" fillId="2" borderId="2" xfId="0" applyNumberFormat="1" applyFont="1" applyFill="1" applyBorder="1" applyProtection="1">
      <alignment horizontal="center" vertical="center" wrapText="1"/>
    </xf>
    <xf numFmtId="14" fontId="5" fillId="0" borderId="3" xfId="0" applyNumberFormat="1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9" fillId="0" borderId="4" xfId="0" applyFont="1" applyBorder="1" applyProtection="1">
      <alignment horizontal="center" vertical="center"/>
    </xf>
    <xf numFmtId="164" fontId="5" fillId="0" borderId="4" xfId="0" applyNumberFormat="1" applyFont="1" applyBorder="1" applyProtection="1">
      <alignment horizontal="right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4" fillId="0" borderId="3" xfId="0" applyFont="1" applyBorder="1" applyProtection="1">
      <alignment horizontal="general" vertical="center"/>
    </xf>
    <xf numFmtId="0" fontId="4" fillId="0" borderId="3" xfId="0" applyFont="1" applyBorder="1" applyProtection="1">
      <alignment horizontal="center" vertical="center"/>
    </xf>
    <xf numFmtId="14" fontId="5" fillId="0" borderId="2" xfId="0" applyNumberFormat="1" applyFont="1" applyBorder="1" applyProtection="1">
      <alignment horizontal="center" vertical="center"/>
    </xf>
    <xf numFmtId="0" fontId="8" fillId="0" borderId="6" xfId="0" applyFont="1" applyBorder="1" applyProtection="1">
      <alignment horizontal="center" vertical="center"/>
    </xf>
    <xf numFmtId="0" fontId="9" fillId="0" borderId="6" xfId="0" applyFont="1" applyBorder="1" applyProtection="1">
      <alignment horizontal="center" vertical="center"/>
    </xf>
    <xf numFmtId="164" fontId="5" fillId="0" borderId="6" xfId="0" applyNumberFormat="1" applyFont="1" applyBorder="1" applyProtection="1">
      <alignment horizontal="right" vertical="center" wrapText="1"/>
    </xf>
    <xf numFmtId="0" fontId="5" fillId="0" borderId="6" xfId="0" applyFont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0" fontId="4" fillId="0" borderId="2" xfId="0" applyFont="1" applyBorder="1" applyProtection="1">
      <alignment horizontal="general" vertical="center"/>
    </xf>
    <xf numFmtId="0" fontId="5" fillId="0" borderId="6" xfId="0" applyFont="1" applyBorder="1" applyProtection="1">
      <alignment horizontal="center" vertical="center" wrapText="1"/>
    </xf>
    <xf numFmtId="0" fontId="5" fillId="0" borderId="7" xfId="0" applyFont="1" applyBorder="1" applyProtection="1">
      <alignment horizontal="center" vertical="center" wrapText="1"/>
    </xf>
    <xf numFmtId="0" fontId="6" fillId="0" borderId="8" xfId="0" applyFont="1" applyBorder="1" applyProtection="1">
      <alignment horizontal="center" vertical="center" wrapText="1"/>
    </xf>
    <xf numFmtId="166" fontId="6" fillId="0" borderId="8" xfId="0" applyNumberFormat="1" applyFont="1" applyBorder="1" applyProtection="1">
      <alignment horizontal="center" vertical="center" wrapText="1"/>
    </xf>
    <xf numFmtId="166" fontId="6" fillId="0" borderId="9" xfId="0" applyNumberFormat="1" applyFont="1" applyBorder="1" applyProtection="1">
      <alignment horizontal="center" vertical="center" wrapText="1"/>
    </xf>
    <xf numFmtId="166" fontId="6" fillId="0" borderId="10" xfId="0" applyNumberFormat="1" applyFont="1" applyBorder="1" applyProtection="1">
      <alignment horizontal="center" vertical="center" wrapText="1"/>
    </xf>
    <xf numFmtId="166" fontId="6" fillId="0" borderId="8" xfId="0" applyNumberFormat="1" applyFont="1" applyBorder="1" applyProtection="1">
      <alignment horizontal="general" vertical="center" wrapText="1"/>
    </xf>
    <xf numFmtId="0" fontId="5" fillId="0" borderId="8" xfId="0" applyFont="1" applyBorder="1" applyProtection="1">
      <alignment horizontal="center" vertical="center" wrapText="1"/>
    </xf>
    <xf numFmtId="167" fontId="10" fillId="2" borderId="8" xfId="0" applyNumberFormat="1" applyFont="1" applyFill="1" applyBorder="1" applyProtection="1">
      <alignment horizontal="center" vertical="center"/>
    </xf>
    <xf numFmtId="168" fontId="10" fillId="0" borderId="8" xfId="0" applyNumberFormat="1" applyFont="1" applyBorder="1" applyProtection="1">
      <alignment horizontal="general" vertical="center"/>
    </xf>
    <xf numFmtId="169" fontId="5" fillId="0" borderId="0" xfId="0" applyNumberFormat="1" applyFont="1">
      <alignment horizontal="general" vertical="center"/>
    </xf>
    <xf numFmtId="0" fontId="11" fillId="0" borderId="0" xfId="0" applyFont="1">
      <alignment horizontal="center" vertical="center" wrapText="1"/>
    </xf>
    <xf numFmtId="170" fontId="12" fillId="0" borderId="0" xfId="0" applyNumberFormat="1" applyFont="1">
      <alignment horizontal="right" vertical="center" wrapText="1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general" vertical="center"/>
    </xf>
    <xf numFmtId="170" fontId="5" fillId="0" borderId="0" xfId="0" applyNumberFormat="1" applyFont="1">
      <alignment horizontal="right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right" vertical="center" wrapText="1"/>
    </xf>
    <xf numFmtId="0" fontId="6" fillId="0" borderId="2" xfId="0" applyFont="1" applyBorder="1" applyProtection="1">
      <alignment horizontal="center" vertical="center" wrapText="1"/>
    </xf>
    <xf numFmtId="170" fontId="5" fillId="0" borderId="2" xfId="0" applyNumberFormat="1" applyFont="1" applyBorder="1" applyProtection="1">
      <alignment horizontal="right" vertical="center" wrapText="1"/>
    </xf>
    <xf numFmtId="0" fontId="6" fillId="0" borderId="8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171" fontId="5" fillId="0" borderId="2" xfId="0" applyNumberFormat="1" applyFont="1" applyBorder="1" applyProtection="1">
      <alignment horizontal="center" vertical="center" wrapText="1"/>
    </xf>
    <xf numFmtId="0" fontId="5" fillId="0" borderId="10" xfId="0" applyFont="1" applyBorder="1" applyProtection="1">
      <alignment horizontal="center" vertical="center" wrapText="1"/>
    </xf>
    <xf numFmtId="0" fontId="9" fillId="0" borderId="2" xfId="0" applyFont="1" applyBorder="1" applyProtection="1">
      <alignment horizontal="center" vertical="center"/>
    </xf>
    <xf numFmtId="170" fontId="5" fillId="0" borderId="2" xfId="0" applyNumberFormat="1" applyFont="1" applyBorder="1" applyProtection="1">
      <alignment horizontal="right" vertical="center" wrapText="1"/>
    </xf>
    <xf numFmtId="0" fontId="5" fillId="0" borderId="6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general" vertical="center"/>
    </xf>
    <xf numFmtId="58" fontId="4" fillId="0" borderId="2" xfId="0" applyNumberFormat="1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9" fillId="0" borderId="6" xfId="0" applyFont="1" applyBorder="1" applyProtection="1">
      <alignment horizontal="center" vertical="center"/>
    </xf>
    <xf numFmtId="14" fontId="4" fillId="0" borderId="2" xfId="0" applyNumberFormat="1" applyFont="1" applyBorder="1" applyProtection="1">
      <alignment horizontal="center" vertical="center"/>
    </xf>
    <xf numFmtId="170" fontId="5" fillId="0" borderId="6" xfId="0" applyNumberFormat="1" applyFont="1" applyBorder="1" applyProtection="1">
      <alignment horizontal="right" vertical="center"/>
    </xf>
    <xf numFmtId="171" fontId="5" fillId="0" borderId="2" xfId="0" applyNumberFormat="1" applyFont="1" applyBorder="1" applyProtection="1">
      <alignment horizontal="center" vertical="center"/>
    </xf>
    <xf numFmtId="166" fontId="5" fillId="0" borderId="2" xfId="0" applyNumberFormat="1" applyFont="1" applyBorder="1" applyProtection="1">
      <alignment horizontal="center" vertical="center" wrapText="1"/>
    </xf>
    <xf numFmtId="14" fontId="5" fillId="0" borderId="2" xfId="0" applyNumberFormat="1" applyFont="1" applyBorder="1" applyProtection="1">
      <alignment horizontal="center" vertical="center"/>
    </xf>
    <xf numFmtId="14" fontId="5" fillId="0" borderId="2" xfId="0" applyNumberFormat="1" applyFont="1" applyBorder="1" applyProtection="1">
      <alignment horizontal="center" vertical="center"/>
    </xf>
    <xf numFmtId="0" fontId="8" fillId="0" borderId="6" xfId="0" applyFont="1" applyBorder="1" applyProtection="1">
      <alignment horizontal="center" vertical="center"/>
    </xf>
    <xf numFmtId="164" fontId="5" fillId="0" borderId="6" xfId="0" applyNumberFormat="1" applyFont="1" applyBorder="1" applyProtection="1">
      <alignment horizontal="right" vertical="center" wrapText="1"/>
    </xf>
    <xf numFmtId="0" fontId="5" fillId="0" borderId="7" xfId="0" applyFont="1" applyBorder="1" applyProtection="1">
      <alignment horizontal="center" vertical="center"/>
    </xf>
    <xf numFmtId="170" fontId="5" fillId="0" borderId="6" xfId="0" applyNumberFormat="1" applyFont="1" applyBorder="1" applyProtection="1">
      <alignment horizontal="right" vertical="center" wrapText="1"/>
    </xf>
    <xf numFmtId="0" fontId="5" fillId="0" borderId="6" xfId="0" applyFont="1" applyBorder="1" applyProtection="1">
      <alignment horizontal="center" vertical="center" wrapText="1"/>
    </xf>
    <xf numFmtId="0" fontId="5" fillId="0" borderId="7" xfId="0" applyFont="1" applyBorder="1" applyProtection="1">
      <alignment horizontal="center" vertical="center" wrapText="1"/>
    </xf>
    <xf numFmtId="166" fontId="6" fillId="0" borderId="8" xfId="0" applyNumberFormat="1" applyFont="1" applyBorder="1" applyProtection="1">
      <alignment horizontal="center" vertical="center" wrapText="1"/>
    </xf>
    <xf numFmtId="166" fontId="6" fillId="0" borderId="9" xfId="0" applyNumberFormat="1" applyFont="1" applyBorder="1" applyProtection="1">
      <alignment horizontal="center" vertical="center" wrapText="1"/>
    </xf>
    <xf numFmtId="170" fontId="5" fillId="0" borderId="9" xfId="0" applyNumberFormat="1" applyFont="1" applyBorder="1" applyProtection="1">
      <alignment horizontal="right" vertical="center" wrapText="1"/>
    </xf>
    <xf numFmtId="166" fontId="6" fillId="0" borderId="10" xfId="0" applyNumberFormat="1" applyFont="1" applyBorder="1" applyProtection="1">
      <alignment horizontal="center" vertical="center" wrapText="1"/>
    </xf>
    <xf numFmtId="166" fontId="6" fillId="0" borderId="8" xfId="0" applyNumberFormat="1" applyFont="1" applyBorder="1" applyProtection="1">
      <alignment horizontal="general" vertical="center" wrapText="1"/>
    </xf>
    <xf numFmtId="0" fontId="5" fillId="0" borderId="8" xfId="0" applyFont="1" applyBorder="1" applyProtection="1">
      <alignment horizontal="center" vertical="center" wrapText="1"/>
    </xf>
    <xf numFmtId="168" fontId="13" fillId="0" borderId="8" xfId="0" applyNumberFormat="1" applyFont="1" applyBorder="1" applyProtection="1">
      <alignment horizontal="center" vertical="center"/>
    </xf>
    <xf numFmtId="168" fontId="13" fillId="0" borderId="9" xfId="0" applyNumberFormat="1" applyFont="1" applyBorder="1" applyProtection="1">
      <alignment horizontal="center" vertical="center"/>
    </xf>
    <xf numFmtId="170" fontId="13" fillId="0" borderId="9" xfId="0" applyNumberFormat="1" applyFont="1" applyBorder="1" applyProtection="1">
      <alignment horizontal="right" vertical="center"/>
    </xf>
    <xf numFmtId="168" fontId="13" fillId="0" borderId="10" xfId="0" applyNumberFormat="1" applyFont="1" applyBorder="1" applyProtection="1">
      <alignment horizontal="center" vertical="center"/>
    </xf>
    <xf numFmtId="168" fontId="13" fillId="0" borderId="8" xfId="0" applyNumberFormat="1" applyFont="1" applyBorder="1" applyProtection="1">
      <alignment horizontal="general" vertical="center"/>
    </xf>
    <xf numFmtId="169" fontId="5" fillId="0" borderId="0" xfId="0" applyNumberFormat="1" applyFont="1">
      <alignment horizontal="general" vertical="center"/>
    </xf>
    <xf numFmtId="170" fontId="5" fillId="0" borderId="1" xfId="0" applyNumberFormat="1" applyFont="1" applyBorder="1" applyProtection="1">
      <alignment horizontal="right" vertical="center" wrapText="1"/>
    </xf>
    <xf numFmtId="170" fontId="4" fillId="0" borderId="0" xfId="0" applyNumberFormat="1" applyFont="1">
      <alignment horizontal="right" vertical="center"/>
    </xf>
    <xf numFmtId="14" fontId="5" fillId="2" borderId="6" xfId="0" applyNumberFormat="1" applyFont="1" applyFill="1" applyBorder="1" applyProtection="1">
      <alignment horizontal="center" vertical="center"/>
    </xf>
    <xf numFmtId="0" fontId="7" fillId="0" borderId="6" xfId="0" applyFont="1" applyBorder="1" applyProtection="1">
      <alignment horizontal="center" vertical="center"/>
    </xf>
    <xf numFmtId="164" fontId="5" fillId="0" borderId="6" xfId="0" applyNumberFormat="1" applyFont="1" applyBorder="1" applyProtection="1">
      <alignment horizontal="center" vertical="center" wrapText="1"/>
    </xf>
    <xf numFmtId="0" fontId="5" fillId="0" borderId="6" xfId="0" applyFont="1" applyBorder="1" applyProtection="1">
      <alignment horizontal="center" vertical="center"/>
    </xf>
    <xf numFmtId="166" fontId="5" fillId="0" borderId="2" xfId="0" applyNumberFormat="1" applyFont="1" applyBorder="1" applyProtection="1">
      <alignment horizontal="center" vertical="center" wrapText="1"/>
    </xf>
    <xf numFmtId="14" fontId="5" fillId="2" borderId="4" xfId="0" applyNumberFormat="1" applyFont="1" applyFill="1" applyBorder="1" applyProtection="1">
      <alignment horizontal="center" vertical="center"/>
    </xf>
    <xf numFmtId="0" fontId="7" fillId="0" borderId="4" xfId="0" applyFont="1" applyBorder="1" applyProtection="1">
      <alignment horizontal="center" vertical="center"/>
    </xf>
    <xf numFmtId="164" fontId="5" fillId="0" borderId="4" xfId="0" applyNumberFormat="1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14" fontId="5" fillId="2" borderId="3" xfId="0" applyNumberFormat="1" applyFont="1" applyFill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164" fontId="5" fillId="0" borderId="3" xfId="0" applyNumberFormat="1" applyFont="1" applyBorder="1" applyProtection="1">
      <alignment horizontal="center" vertical="center" wrapText="1"/>
    </xf>
    <xf numFmtId="0" fontId="5" fillId="0" borderId="3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  <xf numFmtId="164" fontId="5" fillId="2" borderId="6" xfId="0" applyNumberFormat="1" applyFont="1" applyFill="1" applyBorder="1" applyProtection="1">
      <alignment horizontal="center" vertical="center" wrapText="1"/>
    </xf>
    <xf numFmtId="166" fontId="5" fillId="0" borderId="6" xfId="0" applyNumberFormat="1" applyFont="1" applyBorder="1" applyProtection="1">
      <alignment horizontal="center" vertical="center" wrapText="1"/>
    </xf>
    <xf numFmtId="164" fontId="5" fillId="2" borderId="3" xfId="0" applyNumberFormat="1" applyFont="1" applyFill="1" applyBorder="1" applyProtection="1">
      <alignment horizontal="center" vertical="center" wrapText="1"/>
    </xf>
    <xf numFmtId="166" fontId="5" fillId="0" borderId="3" xfId="0" applyNumberFormat="1" applyFont="1" applyBorder="1" applyProtection="1">
      <alignment horizontal="center" vertical="center" wrapText="1"/>
    </xf>
    <xf numFmtId="14" fontId="5" fillId="0" borderId="4" xfId="0" applyNumberFormat="1" applyFont="1" applyBorder="1" applyProtection="1">
      <alignment horizontal="center" vertical="center"/>
    </xf>
    <xf numFmtId="0" fontId="8" fillId="0" borderId="6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14" fillId="0" borderId="4" xfId="0" applyFont="1" applyBorder="1" applyProtection="1">
      <alignment horizontal="general" vertical="center"/>
    </xf>
    <xf numFmtId="14" fontId="5" fillId="0" borderId="3" xfId="0" applyNumberFormat="1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4" fillId="0" borderId="3" xfId="0" applyFont="1" applyBorder="1" applyProtection="1">
      <alignment horizontal="general" vertical="center"/>
    </xf>
    <xf numFmtId="166" fontId="5" fillId="2" borderId="2" xfId="0" applyNumberFormat="1" applyFont="1" applyFill="1" applyBorder="1" applyProtection="1">
      <alignment horizontal="center" vertical="center"/>
    </xf>
    <xf numFmtId="164" fontId="5" fillId="0" borderId="6" xfId="0" applyNumberFormat="1" applyFont="1" applyBorder="1" applyProtection="1">
      <alignment horizontal="center" vertical="center" wrapText="1"/>
    </xf>
    <xf numFmtId="169" fontId="5" fillId="0" borderId="0" xfId="0" applyNumberFormat="1" applyFont="1">
      <alignment horizontal="center" vertical="center"/>
    </xf>
    <xf numFmtId="0" fontId="4" fillId="0" borderId="0" xfId="0" applyFont="1">
      <alignment horizontal="center" vertical="center"/>
    </xf>
    <xf numFmtId="14" fontId="5" fillId="0" borderId="1" xfId="0" applyNumberFormat="1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right" vertical="center" wrapText="1"/>
    </xf>
    <xf numFmtId="166" fontId="6" fillId="0" borderId="8" xfId="0" applyNumberFormat="1" applyFont="1" applyBorder="1" applyProtection="1">
      <alignment horizontal="center" vertical="center" wrapText="1"/>
    </xf>
    <xf numFmtId="166" fontId="6" fillId="0" borderId="9" xfId="0" applyNumberFormat="1" applyFont="1" applyBorder="1" applyProtection="1">
      <alignment horizontal="center" vertical="center" wrapText="1"/>
    </xf>
    <xf numFmtId="168" fontId="13" fillId="0" borderId="8" xfId="0" applyNumberFormat="1" applyFont="1" applyBorder="1" applyProtection="1">
      <alignment horizontal="center" vertical="center"/>
    </xf>
    <xf numFmtId="168" fontId="13" fillId="0" borderId="9" xfId="0" applyNumberFormat="1" applyFont="1" applyBorder="1" applyProtection="1">
      <alignment horizontal="center" vertical="center"/>
    </xf>
    <xf numFmtId="166" fontId="6" fillId="0" borderId="9" xfId="0" applyNumberFormat="1" applyFont="1" applyBorder="1" applyProtection="1">
      <alignment horizontal="general" vertical="center" wrapText="1"/>
    </xf>
    <xf numFmtId="168" fontId="13" fillId="0" borderId="9" xfId="0" applyNumberFormat="1" applyFont="1" applyBorder="1" applyProtection="1">
      <alignment horizontal="general" vertical="center"/>
    </xf>
    <xf numFmtId="0" fontId="5" fillId="0" borderId="8" xfId="0" applyFont="1" applyBorder="1" applyProtection="1">
      <alignment horizontal="center" vertical="center"/>
    </xf>
    <xf numFmtId="0" fontId="6" fillId="0" borderId="2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left" vertical="bottom"/>
    </xf>
    <xf numFmtId="0" fontId="5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 wrapText="1"/>
    </xf>
    <xf numFmtId="166" fontId="6" fillId="0" borderId="2" xfId="0" applyNumberFormat="1" applyFont="1" applyBorder="1" applyProtection="1">
      <alignment horizontal="general" vertical="center" wrapText="1"/>
    </xf>
    <xf numFmtId="168" fontId="13" fillId="0" borderId="2" xfId="0" applyNumberFormat="1" applyFont="1" applyBorder="1" applyProtection="1">
      <alignment horizontal="general" vertical="center"/>
    </xf>
    <xf numFmtId="171" fontId="5" fillId="0" borderId="2" xfId="0" applyNumberFormat="1" applyFont="1" applyBorder="1" applyProtection="1">
      <alignment horizontal="center" vertical="center" wrapText="1"/>
    </xf>
    <xf numFmtId="0" fontId="7" fillId="0" borderId="0" xfId="0" applyFont="1">
      <alignment horizontal="general" vertical="center"/>
    </xf>
    <xf numFmtId="172" fontId="7" fillId="0" borderId="0" xfId="0" applyNumberFormat="1" applyFont="1">
      <alignment horizontal="general" vertical="center"/>
    </xf>
    <xf numFmtId="0" fontId="7" fillId="0" borderId="11" xfId="0" applyFont="1" applyBorder="1" applyProtection="1">
      <alignment horizontal="general" vertical="center"/>
    </xf>
    <xf numFmtId="172" fontId="7" fillId="0" borderId="11" xfId="0" applyNumberFormat="1" applyFont="1" applyBorder="1" applyProtection="1">
      <alignment horizontal="general" vertical="center"/>
    </xf>
    <xf numFmtId="14" fontId="5" fillId="0" borderId="1" xfId="0" applyNumberFormat="1" applyFont="1" applyBorder="1" applyProtection="1">
      <alignment horizontal="right" vertical="center" wrapText="1"/>
    </xf>
    <xf numFmtId="0" fontId="16" fillId="0" borderId="0" xfId="0" applyFont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5" customHeight="1"/>
  <cols>
    <col min="2" max="2" width="9.9990234375" customWidth="1" style="149"/>
  </cols>
  <sheetData>
    <row r="1" ht="15" customHeight="1">
      <c r="A1" s="144" t="s">
        <v>0</v>
      </c>
      <c r="B1" s="145" t="s">
        <v>1</v>
      </c>
    </row>
    <row r="2" ht="15" customHeight="1">
      <c r="A2" s="144" t="s">
        <v>2</v>
      </c>
      <c r="B2" s="145" t="n">
        <f>'佟'!C17</f>
        <v>7279.9</v>
      </c>
    </row>
    <row r="3" ht="15" customHeight="1">
      <c r="A3" s="144" t="s">
        <v>3</v>
      </c>
      <c r="B3" s="145" t="n">
        <f>'林桐'!C57</f>
        <v>40428.14</v>
      </c>
    </row>
    <row r="4" ht="15" customHeight="1">
      <c r="A4" s="144" t="s">
        <v>4</v>
      </c>
      <c r="B4" s="145" t="n">
        <f>'于静'!C47</f>
        <v>24439.58</v>
      </c>
    </row>
    <row r="5" ht="15" customHeight="1">
      <c r="A5" s="144" t="s">
        <v>5</v>
      </c>
      <c r="B5" s="145" t="n">
        <f>'李永亮'!C58</f>
        <v>5094.72</v>
      </c>
    </row>
    <row r="6" ht="15" customHeight="1">
      <c r="A6" s="144" t="s">
        <v>6</v>
      </c>
      <c r="B6" s="145" t="n">
        <f>'黄哲超'!C8</f>
        <v>200</v>
      </c>
    </row>
    <row r="7" ht="15" customHeight="1">
      <c r="A7" s="146" t="s">
        <v>7</v>
      </c>
      <c r="B7" s="147" t="n">
        <f>SUM(B2:B6)</f>
        <v>77442.34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8975" customHeight="1"/>
  <cols>
    <col min="1" max="1" width="12.6650390625" customWidth="1" style="5"/>
    <col min="2" max="2" width="11.666015625" customWidth="1" style="5"/>
    <col min="3" max="3" width="10.8310546875" customWidth="1" style="5"/>
    <col min="4" max="4" width="17.666015625" customWidth="1" style="5"/>
    <col min="5" max="5" width="17.1650390625" customWidth="1" style="5"/>
    <col min="6" max="6" width="11.666015625" customWidth="1" style="5"/>
    <col min="7" max="7" width="8.8330078125" customWidth="1" style="5"/>
    <col min="8" max="8" width="30.3310546875" customWidth="1" style="5"/>
    <col min="9" max="9" width="12.9990234375" hidden="1" customWidth="1" style="5"/>
    <col min="10" max="10" width="12.9990234375" customWidth="1" style="5"/>
  </cols>
  <sheetData>
    <row r="1" ht="29.649999999999995" customHeight="1">
      <c r="A1" s="48" t="s">
        <v>8</v>
      </c>
      <c r="B1" s="48"/>
      <c r="C1" s="48"/>
      <c r="D1" s="48"/>
      <c r="E1" s="48"/>
      <c r="F1" s="48"/>
    </row>
    <row r="2" ht="13.9" customHeight="1">
      <c r="A2" s="6"/>
      <c r="B2" s="6"/>
      <c r="C2" s="6"/>
      <c r="D2" s="7"/>
      <c r="E2" s="7"/>
      <c r="F2" s="7"/>
    </row>
    <row r="3" ht="15.75" customHeight="1">
      <c r="A3" s="8" t="s">
        <v>9</v>
      </c>
      <c r="B3" s="8" t="s">
        <v>4</v>
      </c>
      <c r="C3" s="6"/>
      <c r="D3" s="7"/>
      <c r="E3" s="9" t="s">
        <v>10</v>
      </c>
      <c r="F3" s="10" t="n">
        <v>46178</v>
      </c>
    </row>
    <row r="4" ht="13.9" customHeight="1">
      <c r="A4" s="6"/>
      <c r="B4" s="6"/>
      <c r="C4" s="7"/>
      <c r="D4" s="7"/>
      <c r="E4" s="7"/>
      <c r="F4" s="7"/>
    </row>
    <row r="5" ht="15.75" customHeight="1">
      <c r="A5" s="11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ht="15.75" customHeight="1">
      <c r="A6" s="12" t="n">
        <v>46157</v>
      </c>
      <c r="B6" s="12" t="n">
        <v>46156</v>
      </c>
      <c r="C6" s="13" t="s">
        <v>21</v>
      </c>
      <c r="D6" s="13" t="s">
        <v>22</v>
      </c>
      <c r="E6" s="14" t="n">
        <v>6401.02</v>
      </c>
      <c r="F6" s="14" t="n">
        <v>6401.02</v>
      </c>
      <c r="G6" s="11"/>
      <c r="H6" s="15" t="s">
        <v>23</v>
      </c>
      <c r="I6" s="16"/>
      <c r="J6" s="16" t="n">
        <v>1</v>
      </c>
    </row>
    <row r="7" ht="18" customHeight="1">
      <c r="A7" s="12" t="n">
        <v>46176</v>
      </c>
      <c r="B7" s="12" t="n">
        <v>46157</v>
      </c>
      <c r="C7" s="13" t="s">
        <v>21</v>
      </c>
      <c r="D7" s="13" t="s">
        <v>24</v>
      </c>
      <c r="E7" s="14" t="n">
        <v>790</v>
      </c>
      <c r="F7" s="17" t="n">
        <v>790</v>
      </c>
      <c r="G7" s="18"/>
      <c r="H7" s="15" t="s">
        <v>24</v>
      </c>
      <c r="I7" s="16"/>
      <c r="J7" s="16" t="n">
        <v>2</v>
      </c>
    </row>
    <row r="8" ht="18" customHeight="1">
      <c r="A8" s="12" t="n">
        <v>46160</v>
      </c>
      <c r="B8" s="12" t="n">
        <v>46157</v>
      </c>
      <c r="C8" s="13" t="s">
        <v>25</v>
      </c>
      <c r="D8" s="13" t="s">
        <v>26</v>
      </c>
      <c r="E8" s="14" t="n">
        <v>2601.56</v>
      </c>
      <c r="F8" s="17" t="n">
        <v>2601.56</v>
      </c>
      <c r="G8" s="18"/>
      <c r="H8" s="15" t="s">
        <v>27</v>
      </c>
      <c r="I8" s="16"/>
      <c r="J8" s="16" t="n">
        <v>3</v>
      </c>
    </row>
    <row r="9" ht="18" customHeight="1">
      <c r="A9" s="12" t="n">
        <v>46160</v>
      </c>
      <c r="B9" s="12" t="n">
        <v>46157</v>
      </c>
      <c r="C9" s="13" t="s">
        <v>25</v>
      </c>
      <c r="D9" s="13" t="s">
        <v>28</v>
      </c>
      <c r="E9" s="14" t="n">
        <v>109.58</v>
      </c>
      <c r="F9" s="17" t="n">
        <v>109.58</v>
      </c>
      <c r="G9" s="18"/>
      <c r="H9" s="15" t="s">
        <v>29</v>
      </c>
      <c r="I9" s="16"/>
      <c r="J9" s="16" t="n">
        <v>4</v>
      </c>
    </row>
    <row r="10" ht="18" customHeight="1">
      <c r="A10" s="12" t="n">
        <v>46158</v>
      </c>
      <c r="B10" s="12" t="n">
        <v>46158</v>
      </c>
      <c r="C10" s="13" t="s">
        <v>21</v>
      </c>
      <c r="D10" s="13" t="s">
        <v>30</v>
      </c>
      <c r="E10" s="14" t="n">
        <v>3787</v>
      </c>
      <c r="F10" s="17" t="n">
        <v>3787</v>
      </c>
      <c r="G10" s="18"/>
      <c r="H10" s="15" t="s">
        <v>31</v>
      </c>
      <c r="I10" s="16"/>
      <c r="J10" s="16" t="n">
        <v>5</v>
      </c>
    </row>
    <row r="11" ht="18" customHeight="1">
      <c r="A11" s="12" t="n">
        <v>46171</v>
      </c>
      <c r="B11" s="12" t="n">
        <v>46160</v>
      </c>
      <c r="C11" s="13" t="s">
        <v>21</v>
      </c>
      <c r="D11" s="13" t="s">
        <v>32</v>
      </c>
      <c r="E11" s="14" t="n">
        <v>153.81</v>
      </c>
      <c r="F11" s="17" t="n">
        <v>153.81</v>
      </c>
      <c r="G11" s="18"/>
      <c r="H11" s="15" t="s">
        <v>32</v>
      </c>
      <c r="I11" s="16"/>
      <c r="J11" s="16" t="n">
        <v>6</v>
      </c>
    </row>
    <row r="12" ht="18" customHeight="1">
      <c r="A12" s="12" t="n">
        <v>46170</v>
      </c>
      <c r="B12" s="12" t="n">
        <v>46160</v>
      </c>
      <c r="C12" s="13" t="s">
        <v>25</v>
      </c>
      <c r="D12" s="13" t="s">
        <v>33</v>
      </c>
      <c r="E12" s="14" t="n">
        <v>87.45</v>
      </c>
      <c r="F12" s="17" t="n">
        <v>87.45</v>
      </c>
      <c r="G12" s="18"/>
      <c r="H12" s="15" t="s">
        <v>34</v>
      </c>
      <c r="I12" s="16"/>
      <c r="J12" s="16" t="n">
        <v>7</v>
      </c>
    </row>
    <row r="13" ht="18" customHeight="1">
      <c r="A13" s="12" t="n">
        <v>46174</v>
      </c>
      <c r="B13" s="12" t="n">
        <v>46161</v>
      </c>
      <c r="C13" s="13" t="s">
        <v>21</v>
      </c>
      <c r="D13" s="13" t="s">
        <v>35</v>
      </c>
      <c r="E13" s="14" t="n">
        <v>742.48</v>
      </c>
      <c r="F13" s="17" t="n">
        <v>742.48</v>
      </c>
      <c r="G13" s="18"/>
      <c r="H13" s="15" t="s">
        <v>36</v>
      </c>
      <c r="I13" s="16"/>
      <c r="J13" s="16" t="n">
        <v>8</v>
      </c>
    </row>
    <row r="14" ht="18" customHeight="1">
      <c r="A14" s="12" t="n">
        <v>46174</v>
      </c>
      <c r="B14" s="12" t="n">
        <v>46161</v>
      </c>
      <c r="C14" s="13" t="s">
        <v>25</v>
      </c>
      <c r="D14" s="13" t="s">
        <v>37</v>
      </c>
      <c r="E14" s="14" t="n">
        <v>118</v>
      </c>
      <c r="F14" s="17" t="n">
        <v>118</v>
      </c>
      <c r="G14" s="18"/>
      <c r="H14" s="15" t="s">
        <v>38</v>
      </c>
      <c r="I14" s="16"/>
      <c r="J14" s="16" t="n">
        <v>9</v>
      </c>
    </row>
    <row r="15" ht="18" customHeight="1">
      <c r="A15" s="12" t="n">
        <v>46167</v>
      </c>
      <c r="B15" s="12" t="n">
        <v>46161</v>
      </c>
      <c r="C15" s="13" t="s">
        <v>25</v>
      </c>
      <c r="D15" s="13" t="s">
        <v>39</v>
      </c>
      <c r="E15" s="14" t="n">
        <v>44.36</v>
      </c>
      <c r="F15" s="19" t="n">
        <v>44.36</v>
      </c>
      <c r="G15" s="20"/>
      <c r="H15" s="15" t="s">
        <v>40</v>
      </c>
      <c r="I15" s="16"/>
      <c r="J15" s="16" t="n">
        <v>10</v>
      </c>
    </row>
    <row r="16" ht="18" customHeight="1">
      <c r="A16" s="12" t="n">
        <v>46172</v>
      </c>
      <c r="B16" s="12" t="n">
        <v>46161</v>
      </c>
      <c r="C16" s="13" t="s">
        <v>21</v>
      </c>
      <c r="D16" s="13" t="s">
        <v>41</v>
      </c>
      <c r="E16" s="14" t="n">
        <v>492.14</v>
      </c>
      <c r="F16" s="19" t="n">
        <v>492.14</v>
      </c>
      <c r="G16" s="20"/>
      <c r="H16" s="15" t="s">
        <v>42</v>
      </c>
      <c r="I16" s="16"/>
      <c r="J16" s="16" t="n">
        <v>11</v>
      </c>
    </row>
    <row r="17" ht="18" customHeight="1">
      <c r="A17" s="12" t="n">
        <v>46174</v>
      </c>
      <c r="B17" s="12" t="n">
        <v>46162</v>
      </c>
      <c r="C17" s="13" t="s">
        <v>25</v>
      </c>
      <c r="D17" s="13" t="s">
        <v>43</v>
      </c>
      <c r="E17" s="14" t="n">
        <v>13.21</v>
      </c>
      <c r="F17" s="19" t="n">
        <v>13.21</v>
      </c>
      <c r="G17" s="20"/>
      <c r="H17" s="15" t="s">
        <v>44</v>
      </c>
      <c r="I17" s="16"/>
      <c r="J17" s="16" t="n">
        <v>12</v>
      </c>
    </row>
    <row r="18" ht="18" customHeight="1">
      <c r="A18" s="12" t="n">
        <v>46167</v>
      </c>
      <c r="B18" s="12" t="n">
        <v>46163</v>
      </c>
      <c r="C18" s="13" t="s">
        <v>25</v>
      </c>
      <c r="D18" s="13" t="s">
        <v>45</v>
      </c>
      <c r="E18" s="14" t="n">
        <v>13.8</v>
      </c>
      <c r="F18" s="19" t="n">
        <v>13.8</v>
      </c>
      <c r="G18" s="20"/>
      <c r="H18" s="15" t="s">
        <v>46</v>
      </c>
      <c r="I18" s="16"/>
      <c r="J18" s="16" t="n">
        <v>13</v>
      </c>
    </row>
    <row r="19" ht="18" customHeight="1">
      <c r="A19" s="12" t="n">
        <v>46175</v>
      </c>
      <c r="B19" s="12" t="n">
        <v>46164</v>
      </c>
      <c r="C19" s="13" t="s">
        <v>25</v>
      </c>
      <c r="D19" s="13" t="s">
        <v>47</v>
      </c>
      <c r="E19" s="14" t="n">
        <v>53.7</v>
      </c>
      <c r="F19" s="19" t="n">
        <v>53.7</v>
      </c>
      <c r="G19" s="20"/>
      <c r="H19" s="15" t="s">
        <v>47</v>
      </c>
      <c r="I19" s="16"/>
      <c r="J19" s="16" t="n">
        <v>14</v>
      </c>
    </row>
    <row r="20" ht="18" customHeight="1">
      <c r="A20" s="12" t="n">
        <v>46174</v>
      </c>
      <c r="B20" s="12" t="n">
        <v>46164</v>
      </c>
      <c r="C20" s="13" t="s">
        <v>25</v>
      </c>
      <c r="D20" s="13" t="s">
        <v>48</v>
      </c>
      <c r="E20" s="14" t="n">
        <v>72.9</v>
      </c>
      <c r="F20" s="19" t="n">
        <v>1472.9</v>
      </c>
      <c r="G20" s="20"/>
      <c r="H20" s="15" t="s">
        <v>49</v>
      </c>
      <c r="I20" s="16"/>
      <c r="J20" s="16" t="n">
        <v>15</v>
      </c>
    </row>
    <row r="21" ht="18" customHeight="1">
      <c r="A21" s="12" t="n">
        <v>46170</v>
      </c>
      <c r="B21" s="12" t="n">
        <v>46164</v>
      </c>
      <c r="C21" s="13" t="s">
        <v>25</v>
      </c>
      <c r="D21" s="13" t="s">
        <v>50</v>
      </c>
      <c r="E21" s="14" t="n">
        <v>153.65</v>
      </c>
      <c r="F21" s="14" t="n">
        <v>153.65</v>
      </c>
      <c r="G21" s="20"/>
      <c r="H21" s="15" t="s">
        <v>50</v>
      </c>
      <c r="I21" s="16"/>
      <c r="J21" s="16" t="n">
        <v>16</v>
      </c>
    </row>
    <row r="22" ht="18" customHeight="1">
      <c r="A22" s="12" t="n">
        <v>46168</v>
      </c>
      <c r="B22" s="12" t="n">
        <v>46164</v>
      </c>
      <c r="C22" s="13" t="s">
        <v>25</v>
      </c>
      <c r="D22" s="13" t="s">
        <v>26</v>
      </c>
      <c r="E22" s="14" t="n">
        <v>2651.56</v>
      </c>
      <c r="F22" s="14" t="n">
        <v>2651.56</v>
      </c>
      <c r="G22" s="20"/>
      <c r="H22" s="15" t="s">
        <v>27</v>
      </c>
      <c r="I22" s="16"/>
      <c r="J22" s="16" t="n">
        <v>17</v>
      </c>
    </row>
    <row r="23" ht="18" customHeight="1">
      <c r="A23" s="12" t="n">
        <v>46174</v>
      </c>
      <c r="B23" s="12" t="n">
        <v>46167</v>
      </c>
      <c r="C23" s="13" t="s">
        <v>21</v>
      </c>
      <c r="D23" s="13" t="s">
        <v>51</v>
      </c>
      <c r="E23" s="14" t="n">
        <v>775.72</v>
      </c>
      <c r="F23" s="14" t="n">
        <v>775.72</v>
      </c>
      <c r="G23" s="20"/>
      <c r="H23" s="15" t="s">
        <v>52</v>
      </c>
      <c r="I23" s="16"/>
      <c r="J23" s="16" t="n">
        <v>18</v>
      </c>
    </row>
    <row r="24" ht="18" customHeight="1">
      <c r="A24" s="12" t="n">
        <v>46176</v>
      </c>
      <c r="B24" s="12" t="n">
        <v>46167</v>
      </c>
      <c r="C24" s="13" t="s">
        <v>21</v>
      </c>
      <c r="D24" s="13" t="s">
        <v>53</v>
      </c>
      <c r="E24" s="14" t="n">
        <v>347.6</v>
      </c>
      <c r="F24" s="14" t="n">
        <v>347.6</v>
      </c>
      <c r="G24" s="20"/>
      <c r="H24" s="15" t="s">
        <v>54</v>
      </c>
      <c r="I24" s="16"/>
      <c r="J24" s="16" t="n">
        <v>19</v>
      </c>
    </row>
    <row r="25" ht="18" customHeight="1">
      <c r="A25" s="12" t="n">
        <v>46176</v>
      </c>
      <c r="B25" s="12" t="n">
        <v>46167</v>
      </c>
      <c r="C25" s="13" t="s">
        <v>21</v>
      </c>
      <c r="D25" s="13" t="s">
        <v>53</v>
      </c>
      <c r="E25" s="14" t="n">
        <v>595.9</v>
      </c>
      <c r="F25" s="14" t="n">
        <v>595.9</v>
      </c>
      <c r="G25" s="20"/>
      <c r="H25" s="15" t="s">
        <v>54</v>
      </c>
      <c r="I25" s="16"/>
      <c r="J25" s="16" t="n">
        <v>20</v>
      </c>
    </row>
    <row r="26" ht="18" customHeight="1">
      <c r="A26" s="12" t="n">
        <v>46174</v>
      </c>
      <c r="B26" s="12" t="n">
        <v>46168</v>
      </c>
      <c r="C26" s="13" t="s">
        <v>25</v>
      </c>
      <c r="D26" s="13" t="s">
        <v>48</v>
      </c>
      <c r="E26" s="14" t="n">
        <v>1000</v>
      </c>
      <c r="F26" s="19" t="n">
        <v>1472.9</v>
      </c>
      <c r="G26" s="20"/>
      <c r="H26" s="15" t="s">
        <v>49</v>
      </c>
      <c r="I26" s="16"/>
      <c r="J26" s="16" t="n">
        <v>21</v>
      </c>
    </row>
    <row r="27" ht="18" customHeight="1">
      <c r="A27" s="12" t="n">
        <v>46168</v>
      </c>
      <c r="B27" s="12" t="n">
        <v>46168</v>
      </c>
      <c r="C27" s="13" t="s">
        <v>55</v>
      </c>
      <c r="D27" s="13" t="s">
        <v>56</v>
      </c>
      <c r="E27" s="14" t="n">
        <v>30.1</v>
      </c>
      <c r="F27" s="14" t="n">
        <v>30.1</v>
      </c>
      <c r="G27" s="20"/>
      <c r="H27" s="15" t="s">
        <v>57</v>
      </c>
      <c r="I27" s="16"/>
      <c r="J27" s="16" t="n">
        <v>22</v>
      </c>
    </row>
    <row r="28" ht="18" customHeight="1">
      <c r="A28" s="12" t="n">
        <v>46176</v>
      </c>
      <c r="B28" s="12" t="n">
        <v>46168</v>
      </c>
      <c r="C28" s="13" t="s">
        <v>25</v>
      </c>
      <c r="D28" s="13" t="s">
        <v>58</v>
      </c>
      <c r="E28" s="14" t="n">
        <v>100</v>
      </c>
      <c r="F28" s="14" t="n">
        <v>100</v>
      </c>
      <c r="G28" s="20"/>
      <c r="H28" s="15" t="s">
        <v>59</v>
      </c>
      <c r="I28" s="16"/>
      <c r="J28" s="16" t="n">
        <v>23</v>
      </c>
    </row>
    <row r="29" ht="18" customHeight="1">
      <c r="A29" s="12" t="n">
        <v>46177</v>
      </c>
      <c r="B29" s="12" t="n">
        <v>46170</v>
      </c>
      <c r="C29" s="13" t="s">
        <v>25</v>
      </c>
      <c r="D29" s="13" t="s">
        <v>60</v>
      </c>
      <c r="E29" s="14" t="n">
        <v>49</v>
      </c>
      <c r="F29" s="14" t="n">
        <v>49</v>
      </c>
      <c r="G29" s="20"/>
      <c r="H29" s="15" t="s">
        <v>61</v>
      </c>
      <c r="I29" s="16"/>
      <c r="J29" s="16" t="n">
        <v>24</v>
      </c>
    </row>
    <row r="30" ht="18" customHeight="1">
      <c r="A30" s="12" t="n">
        <v>46170</v>
      </c>
      <c r="B30" s="12" t="n">
        <v>46170</v>
      </c>
      <c r="C30" s="13" t="s">
        <v>55</v>
      </c>
      <c r="D30" s="13" t="s">
        <v>56</v>
      </c>
      <c r="E30" s="14" t="n">
        <v>37.04</v>
      </c>
      <c r="F30" s="14" t="n">
        <v>37.04</v>
      </c>
      <c r="G30" s="20"/>
      <c r="H30" s="15" t="s">
        <v>57</v>
      </c>
      <c r="I30" s="16"/>
      <c r="J30" s="16" t="n">
        <v>25</v>
      </c>
    </row>
    <row r="31" ht="18" customHeight="1">
      <c r="A31" s="12" t="n">
        <v>46171</v>
      </c>
      <c r="B31" s="12" t="n">
        <v>46171</v>
      </c>
      <c r="C31" s="13" t="s">
        <v>55</v>
      </c>
      <c r="D31" s="13" t="s">
        <v>56</v>
      </c>
      <c r="E31" s="14" t="n">
        <v>36.2</v>
      </c>
      <c r="F31" s="14" t="n">
        <v>36.2</v>
      </c>
      <c r="G31" s="20"/>
      <c r="H31" s="15" t="s">
        <v>62</v>
      </c>
      <c r="I31" s="16"/>
      <c r="J31" s="16" t="n">
        <v>26</v>
      </c>
    </row>
    <row r="32" ht="18" customHeight="1">
      <c r="A32" s="12" t="n">
        <v>46175</v>
      </c>
      <c r="B32" s="12" t="n">
        <v>46171</v>
      </c>
      <c r="C32" s="13" t="s">
        <v>55</v>
      </c>
      <c r="D32" s="13" t="s">
        <v>56</v>
      </c>
      <c r="E32" s="14" t="n">
        <v>97.3</v>
      </c>
      <c r="F32" s="14" t="n">
        <v>97.3</v>
      </c>
      <c r="G32" s="20"/>
      <c r="H32" s="15" t="s">
        <v>63</v>
      </c>
      <c r="I32" s="16"/>
      <c r="J32" s="16" t="n">
        <v>27</v>
      </c>
    </row>
    <row r="33" ht="18" customHeight="1">
      <c r="A33" s="12" t="n">
        <v>46174</v>
      </c>
      <c r="B33" s="12" t="n">
        <v>46172</v>
      </c>
      <c r="C33" s="13" t="s">
        <v>25</v>
      </c>
      <c r="D33" s="13" t="s">
        <v>48</v>
      </c>
      <c r="E33" s="14" t="n">
        <v>400</v>
      </c>
      <c r="F33" s="14" t="n">
        <v>400</v>
      </c>
      <c r="G33" s="20"/>
      <c r="H33" s="15" t="s">
        <v>49</v>
      </c>
      <c r="I33" s="16"/>
      <c r="J33" s="16" t="n">
        <v>28</v>
      </c>
    </row>
    <row r="34" ht="18" customHeight="1">
      <c r="A34" s="12" t="n">
        <v>46177</v>
      </c>
      <c r="B34" s="12" t="n">
        <v>46174</v>
      </c>
      <c r="C34" s="13" t="s">
        <v>25</v>
      </c>
      <c r="D34" s="13" t="s">
        <v>64</v>
      </c>
      <c r="E34" s="14" t="n">
        <v>395.92</v>
      </c>
      <c r="F34" s="14" t="n">
        <v>395.92</v>
      </c>
      <c r="G34" s="20"/>
      <c r="H34" s="15" t="s">
        <v>65</v>
      </c>
      <c r="I34" s="16"/>
      <c r="J34" s="16" t="n">
        <v>29</v>
      </c>
    </row>
    <row r="35" ht="18" customHeight="1">
      <c r="A35" s="12" t="n">
        <v>46175</v>
      </c>
      <c r="B35" s="12" t="n">
        <v>46174</v>
      </c>
      <c r="C35" s="13" t="s">
        <v>25</v>
      </c>
      <c r="D35" s="13" t="s">
        <v>66</v>
      </c>
      <c r="E35" s="14" t="n">
        <v>295.66</v>
      </c>
      <c r="F35" s="14" t="n">
        <v>295.66</v>
      </c>
      <c r="G35" s="20"/>
      <c r="H35" s="15" t="s">
        <v>66</v>
      </c>
      <c r="I35" s="16"/>
      <c r="J35" s="16" t="n">
        <v>30</v>
      </c>
    </row>
    <row r="36" ht="18" customHeight="1">
      <c r="A36" s="12" t="n">
        <v>46163</v>
      </c>
      <c r="B36" s="12" t="n">
        <v>46157</v>
      </c>
      <c r="C36" s="13" t="s">
        <v>21</v>
      </c>
      <c r="D36" s="13" t="s">
        <v>67</v>
      </c>
      <c r="E36" s="14" t="n">
        <v>26.86</v>
      </c>
      <c r="F36" s="14" t="n">
        <v>26.86</v>
      </c>
      <c r="G36" s="20"/>
      <c r="H36" s="15" t="s">
        <v>68</v>
      </c>
      <c r="I36" s="16"/>
      <c r="J36" s="16" t="n">
        <v>31</v>
      </c>
    </row>
    <row r="37" ht="18" customHeight="1">
      <c r="A37" s="12" t="n">
        <v>46174</v>
      </c>
      <c r="B37" s="12" t="n">
        <v>46174</v>
      </c>
      <c r="C37" s="13" t="s">
        <v>21</v>
      </c>
      <c r="D37" s="13" t="s">
        <v>69</v>
      </c>
      <c r="E37" s="14" t="n">
        <v>541.38</v>
      </c>
      <c r="F37" s="14" t="n">
        <v>541.38</v>
      </c>
      <c r="G37" s="20"/>
      <c r="H37" s="15" t="s">
        <v>52</v>
      </c>
      <c r="I37" s="16"/>
      <c r="J37" s="16" t="n">
        <v>32</v>
      </c>
    </row>
    <row r="38" ht="18" customHeight="1">
      <c r="A38" s="12" t="n">
        <v>46177</v>
      </c>
      <c r="B38" s="12" t="n">
        <v>46174</v>
      </c>
      <c r="C38" s="13" t="s">
        <v>25</v>
      </c>
      <c r="D38" s="13" t="s">
        <v>70</v>
      </c>
      <c r="E38" s="14" t="n">
        <v>33.62</v>
      </c>
      <c r="F38" s="14" t="n">
        <v>837.89</v>
      </c>
      <c r="G38" s="20" t="s">
        <v>71</v>
      </c>
      <c r="H38" s="15" t="s">
        <v>72</v>
      </c>
      <c r="I38" s="16"/>
      <c r="J38" s="16" t="n">
        <v>33</v>
      </c>
    </row>
    <row r="39" ht="18" customHeight="1">
      <c r="A39" s="12" t="n">
        <v>46177</v>
      </c>
      <c r="B39" s="12" t="n">
        <v>46175</v>
      </c>
      <c r="C39" s="13" t="s">
        <v>25</v>
      </c>
      <c r="D39" s="13" t="s">
        <v>70</v>
      </c>
      <c r="E39" s="14" t="n">
        <v>546.76</v>
      </c>
      <c r="F39" s="14" t="n">
        <v>837.89</v>
      </c>
      <c r="G39" s="139" t="s">
        <v>71</v>
      </c>
      <c r="H39" s="15" t="s">
        <v>73</v>
      </c>
      <c r="I39" s="16"/>
      <c r="J39" s="16" t="n">
        <v>34</v>
      </c>
    </row>
    <row r="40" ht="18" customHeight="1">
      <c r="A40" s="12" t="n">
        <v>46177</v>
      </c>
      <c r="B40" s="12" t="n">
        <v>46175</v>
      </c>
      <c r="C40" s="13" t="s">
        <v>21</v>
      </c>
      <c r="D40" s="13" t="s">
        <v>74</v>
      </c>
      <c r="E40" s="14" t="n">
        <v>594.8</v>
      </c>
      <c r="F40" s="14" t="n">
        <v>594.8</v>
      </c>
      <c r="G40" s="20"/>
      <c r="H40" s="15" t="s">
        <v>74</v>
      </c>
      <c r="I40" s="16"/>
      <c r="J40" s="16" t="n">
        <v>35</v>
      </c>
    </row>
    <row r="41" ht="18" customHeight="1">
      <c r="A41" s="12" t="n">
        <v>46177</v>
      </c>
      <c r="B41" s="12" t="n">
        <v>46175</v>
      </c>
      <c r="C41" s="13" t="s">
        <v>25</v>
      </c>
      <c r="D41" s="13" t="s">
        <v>70</v>
      </c>
      <c r="E41" s="14" t="n">
        <v>249.5</v>
      </c>
      <c r="F41" s="14" t="n">
        <v>837.89</v>
      </c>
      <c r="G41" s="139" t="s">
        <v>71</v>
      </c>
      <c r="H41" s="21" t="s">
        <v>75</v>
      </c>
      <c r="I41" s="16"/>
      <c r="J41" s="16" t="n">
        <v>36</v>
      </c>
    </row>
    <row r="42" ht="18" customHeight="1">
      <c r="A42" s="22"/>
      <c r="B42" s="22"/>
      <c r="C42" s="23"/>
      <c r="D42" s="24"/>
      <c r="E42" s="25"/>
      <c r="F42" s="26"/>
      <c r="G42" s="26"/>
      <c r="H42" s="27"/>
      <c r="I42" s="28"/>
      <c r="J42" s="29"/>
    </row>
    <row r="43" ht="18" customHeight="1">
      <c r="A43" s="30"/>
      <c r="B43" s="30"/>
      <c r="C43" s="31"/>
      <c r="D43" s="32"/>
      <c r="E43" s="33"/>
      <c r="F43" s="34"/>
      <c r="G43" s="34"/>
      <c r="H43" s="35"/>
      <c r="I43" s="36"/>
      <c r="J43" s="16"/>
    </row>
    <row r="44" ht="18" customHeight="1">
      <c r="A44" s="30"/>
      <c r="B44" s="30"/>
      <c r="C44" s="31"/>
      <c r="D44" s="32"/>
      <c r="E44" s="33"/>
      <c r="F44" s="34"/>
      <c r="G44" s="34"/>
      <c r="H44" s="35"/>
      <c r="I44" s="36"/>
      <c r="J44" s="16"/>
    </row>
    <row r="45" ht="18" customHeight="1">
      <c r="A45" s="30"/>
      <c r="B45" s="30"/>
      <c r="C45" s="31"/>
      <c r="D45" s="32"/>
      <c r="E45" s="33"/>
      <c r="F45" s="34"/>
      <c r="G45" s="34"/>
      <c r="H45" s="35"/>
      <c r="I45" s="36"/>
      <c r="J45" s="16"/>
    </row>
    <row r="46" ht="18" customHeight="1">
      <c r="A46" s="30"/>
      <c r="B46" s="30"/>
      <c r="C46" s="31"/>
      <c r="D46" s="32"/>
      <c r="E46" s="33"/>
      <c r="F46" s="37"/>
      <c r="G46" s="37"/>
      <c r="H46" s="38"/>
      <c r="I46" s="36"/>
      <c r="J46" s="16"/>
    </row>
    <row r="47" ht="18" customHeight="1">
      <c r="A47" s="11" t="s">
        <v>7</v>
      </c>
      <c r="B47" s="39"/>
      <c r="C47" s="40" t="n">
        <f>SUM(E6:E46)</f>
        <v>24439.58</v>
      </c>
      <c r="D47" s="41"/>
      <c r="E47" s="41"/>
      <c r="F47" s="41"/>
      <c r="G47" s="42"/>
      <c r="H47" s="43"/>
      <c r="I47" s="36"/>
      <c r="J47" s="16"/>
    </row>
    <row r="48" ht="18" customHeight="1">
      <c r="A48" s="18" t="s">
        <v>76</v>
      </c>
      <c r="B48" s="44"/>
      <c r="C48" s="45" t="s">
        <v>77</v>
      </c>
      <c r="D48" s="45"/>
      <c r="E48" s="45"/>
      <c r="F48" s="45"/>
      <c r="G48" s="45"/>
      <c r="H48" s="46"/>
      <c r="I48" s="36"/>
      <c r="J48" s="16"/>
    </row>
    <row r="49" ht="13.9" customHeight="1">
      <c r="A49" s="6"/>
      <c r="B49" s="6"/>
      <c r="C49" s="47"/>
      <c r="D49" s="47"/>
      <c r="E49" s="47"/>
      <c r="F49" s="47"/>
    </row>
    <row r="50" ht="18" customHeight="1">
      <c r="A50" s="6"/>
      <c r="B50" s="6"/>
      <c r="C50" s="47"/>
      <c r="D50" s="47"/>
      <c r="F50" s="9" t="s">
        <v>78</v>
      </c>
      <c r="G50" s="8" t="s">
        <v>79</v>
      </c>
    </row>
  </sheetData>
  <mergeCells count="3">
    <mergeCell ref="C48:G48"/>
    <mergeCell ref="A1:F1"/>
    <mergeCell ref="C47:G4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7.998046875" defaultRowHeight="13.8975" customHeight="1"/>
  <cols>
    <col min="1" max="1" width="11.1650390625" customWidth="1" style="50"/>
    <col min="2" max="2" width="10.3330078125" customWidth="1" style="50"/>
    <col min="3" max="3" width="9.498046875" customWidth="1" style="50"/>
    <col min="4" max="4" width="15.498046875" customWidth="1" style="50"/>
    <col min="5" max="5" width="15.1640625" customWidth="1" style="50"/>
    <col min="6" max="6" width="13.166015625" customWidth="1" style="97"/>
    <col min="7" max="7" width="7.8310546875" customWidth="1" style="50"/>
    <col min="8" max="8" width="15" customWidth="1" style="50" collapsed="1"/>
    <col min="9" max="9" width="11.4990234375" customWidth="1" style="50" hidden="1" outlineLevel="1"/>
    <col min="10" max="10" width="18.3310546875" customWidth="1" style="50"/>
    <col min="11" max="40" width="7.998046875" style="50"/>
  </cols>
  <sheetData>
    <row r="1" ht="29.649999999999995" customHeight="1">
      <c r="A1" s="48" t="s">
        <v>8</v>
      </c>
      <c r="B1" s="48"/>
      <c r="C1" s="48"/>
      <c r="D1" s="48"/>
      <c r="E1" s="48"/>
      <c r="F1" s="49"/>
    </row>
    <row r="2" ht="13.8975" customHeight="1">
      <c r="A2" s="51"/>
      <c r="B2" s="51"/>
      <c r="C2" s="51"/>
      <c r="D2" s="52"/>
      <c r="E2" s="52"/>
      <c r="F2" s="53"/>
    </row>
    <row r="3" ht="18" customHeight="1">
      <c r="A3" s="54" t="s">
        <v>9</v>
      </c>
      <c r="B3" s="54" t="s">
        <v>3</v>
      </c>
      <c r="C3" s="51"/>
      <c r="D3" s="52"/>
      <c r="E3" s="55" t="s">
        <v>10</v>
      </c>
      <c r="F3" s="148" t="n">
        <v>46178</v>
      </c>
    </row>
    <row r="4" ht="13.8975" customHeight="1">
      <c r="A4" s="51"/>
      <c r="B4" s="51"/>
      <c r="C4" s="52"/>
      <c r="D4" s="52"/>
      <c r="E4" s="52"/>
      <c r="F4" s="53"/>
    </row>
    <row r="5" ht="15.75" customHeight="1">
      <c r="A5" s="56" t="s">
        <v>11</v>
      </c>
      <c r="B5" s="56" t="s">
        <v>12</v>
      </c>
      <c r="C5" s="56" t="s">
        <v>13</v>
      </c>
      <c r="D5" s="56" t="s">
        <v>14</v>
      </c>
      <c r="E5" s="56" t="s">
        <v>15</v>
      </c>
      <c r="F5" s="57" t="s">
        <v>16</v>
      </c>
      <c r="G5" s="56" t="s">
        <v>17</v>
      </c>
      <c r="H5" s="58" t="s">
        <v>18</v>
      </c>
      <c r="I5" s="58" t="s">
        <v>19</v>
      </c>
      <c r="J5" s="59" t="s">
        <v>20</v>
      </c>
    </row>
    <row r="6" ht="15.75" customHeight="1">
      <c r="A6" s="60" t="n">
        <v>46177</v>
      </c>
      <c r="B6" s="60" t="n">
        <v>46177</v>
      </c>
      <c r="C6" s="61" t="s">
        <v>21</v>
      </c>
      <c r="D6" s="62" t="s">
        <v>80</v>
      </c>
      <c r="E6" s="63" t="n">
        <v>850</v>
      </c>
      <c r="F6" s="57" t="n">
        <v>2094.93</v>
      </c>
      <c r="G6" s="139" t="s">
        <v>71</v>
      </c>
      <c r="H6" s="65" t="s">
        <v>81</v>
      </c>
      <c r="I6" s="66"/>
      <c r="J6" s="67" t="s">
        <v>82</v>
      </c>
    </row>
    <row r="7" ht="18" customHeight="1">
      <c r="A7" s="60" t="n">
        <v>46175</v>
      </c>
      <c r="B7" s="60" t="n">
        <v>46175</v>
      </c>
      <c r="C7" s="61" t="s">
        <v>25</v>
      </c>
      <c r="D7" s="62" t="s">
        <v>83</v>
      </c>
      <c r="E7" s="63" t="n">
        <v>104.27</v>
      </c>
      <c r="F7" s="63" t="n">
        <v>104.27</v>
      </c>
      <c r="G7" s="68"/>
      <c r="H7" s="65" t="s">
        <v>84</v>
      </c>
      <c r="I7" s="66"/>
      <c r="J7" s="69" t="n">
        <v>6</v>
      </c>
    </row>
    <row r="8" ht="18" customHeight="1">
      <c r="A8" s="60" t="n">
        <v>46153</v>
      </c>
      <c r="B8" s="60" t="n">
        <v>46153</v>
      </c>
      <c r="C8" s="61" t="s">
        <v>25</v>
      </c>
      <c r="D8" s="62" t="s">
        <v>39</v>
      </c>
      <c r="E8" s="63" t="n">
        <v>23.8</v>
      </c>
      <c r="F8" s="57" t="n">
        <v>23.8</v>
      </c>
      <c r="G8" s="68"/>
      <c r="H8" s="65" t="s">
        <v>85</v>
      </c>
      <c r="I8" s="66"/>
      <c r="J8" s="69" t="n">
        <v>7</v>
      </c>
    </row>
    <row r="9" ht="15.75" customHeight="1">
      <c r="A9" s="60" t="n">
        <v>46177</v>
      </c>
      <c r="B9" s="60" t="n">
        <v>46177</v>
      </c>
      <c r="C9" s="61" t="s">
        <v>21</v>
      </c>
      <c r="D9" s="62" t="s">
        <v>80</v>
      </c>
      <c r="E9" s="63" t="n">
        <v>9</v>
      </c>
      <c r="F9" s="57" t="n">
        <v>2094.93</v>
      </c>
      <c r="G9" s="139" t="s">
        <v>71</v>
      </c>
      <c r="H9" s="65" t="s">
        <v>86</v>
      </c>
      <c r="I9" s="66"/>
      <c r="J9" s="67" t="s">
        <v>82</v>
      </c>
    </row>
    <row r="10" ht="18" customHeight="1">
      <c r="A10" s="60" t="n">
        <v>46174</v>
      </c>
      <c r="B10" s="60" t="n">
        <v>46174</v>
      </c>
      <c r="C10" s="61" t="s">
        <v>87</v>
      </c>
      <c r="D10" s="62" t="s">
        <v>88</v>
      </c>
      <c r="E10" s="63" t="n">
        <v>196.8</v>
      </c>
      <c r="F10" s="63" t="n">
        <v>196.8</v>
      </c>
      <c r="G10" s="68"/>
      <c r="H10" s="65" t="s">
        <v>89</v>
      </c>
      <c r="I10" s="66"/>
      <c r="J10" s="69" t="n">
        <v>9</v>
      </c>
    </row>
    <row r="11" ht="15.75" customHeight="1">
      <c r="A11" s="60" t="n">
        <v>46177</v>
      </c>
      <c r="B11" s="60" t="n">
        <v>46177</v>
      </c>
      <c r="C11" s="61" t="s">
        <v>21</v>
      </c>
      <c r="D11" s="62" t="s">
        <v>80</v>
      </c>
      <c r="E11" s="63" t="n">
        <v>59</v>
      </c>
      <c r="F11" s="57" t="n">
        <v>2094.93</v>
      </c>
      <c r="G11" s="139" t="s">
        <v>71</v>
      </c>
      <c r="H11" s="65" t="s">
        <v>90</v>
      </c>
      <c r="I11" s="66"/>
      <c r="J11" s="67" t="s">
        <v>82</v>
      </c>
    </row>
    <row r="12" ht="18" customHeight="1">
      <c r="A12" s="60" t="n">
        <v>46153</v>
      </c>
      <c r="B12" s="60" t="n">
        <v>46153</v>
      </c>
      <c r="C12" s="61" t="s">
        <v>87</v>
      </c>
      <c r="D12" s="62" t="s">
        <v>91</v>
      </c>
      <c r="E12" s="63" t="n">
        <v>24</v>
      </c>
      <c r="F12" s="63" t="n">
        <v>24</v>
      </c>
      <c r="G12" s="68"/>
      <c r="H12" s="65" t="s">
        <v>92</v>
      </c>
      <c r="I12" s="66"/>
      <c r="J12" s="69" t="n">
        <v>11</v>
      </c>
    </row>
    <row r="13" ht="18" customHeight="1">
      <c r="A13" s="60" t="n">
        <v>46174</v>
      </c>
      <c r="B13" s="60" t="n">
        <v>46174</v>
      </c>
      <c r="C13" s="61" t="s">
        <v>87</v>
      </c>
      <c r="D13" s="62" t="s">
        <v>88</v>
      </c>
      <c r="E13" s="63" t="n">
        <v>913</v>
      </c>
      <c r="F13" s="63" t="n">
        <v>913</v>
      </c>
      <c r="G13" s="68"/>
      <c r="H13" s="65" t="s">
        <v>93</v>
      </c>
      <c r="I13" s="66"/>
      <c r="J13" s="69" t="n">
        <v>12</v>
      </c>
    </row>
    <row r="14" ht="15.75" customHeight="1">
      <c r="A14" s="60" t="n">
        <v>46177</v>
      </c>
      <c r="B14" s="60" t="n">
        <v>46177</v>
      </c>
      <c r="C14" s="61" t="s">
        <v>21</v>
      </c>
      <c r="D14" s="62" t="s">
        <v>80</v>
      </c>
      <c r="E14" s="63" t="n">
        <v>12</v>
      </c>
      <c r="F14" s="57" t="n">
        <v>2094.93</v>
      </c>
      <c r="G14" s="139" t="s">
        <v>71</v>
      </c>
      <c r="H14" s="65" t="s">
        <v>94</v>
      </c>
      <c r="I14" s="66"/>
      <c r="J14" s="67" t="s">
        <v>82</v>
      </c>
    </row>
    <row r="15" ht="18" customHeight="1">
      <c r="A15" s="60" t="n">
        <v>46157</v>
      </c>
      <c r="B15" s="60" t="n">
        <v>46157</v>
      </c>
      <c r="C15" s="61" t="s">
        <v>87</v>
      </c>
      <c r="D15" s="62" t="s">
        <v>88</v>
      </c>
      <c r="E15" s="63" t="n">
        <v>327</v>
      </c>
      <c r="F15" s="63" t="n">
        <v>327</v>
      </c>
      <c r="G15" s="70"/>
      <c r="H15" s="65" t="s">
        <v>95</v>
      </c>
      <c r="I15" s="66"/>
      <c r="J15" s="69" t="n">
        <v>14</v>
      </c>
    </row>
    <row r="16" ht="18" customHeight="1">
      <c r="A16" s="60" t="n">
        <v>46175</v>
      </c>
      <c r="B16" s="60" t="n">
        <v>46175</v>
      </c>
      <c r="C16" s="61" t="s">
        <v>21</v>
      </c>
      <c r="D16" s="71" t="s">
        <v>96</v>
      </c>
      <c r="E16" s="63" t="n">
        <v>1429</v>
      </c>
      <c r="F16" s="63" t="n">
        <v>1429</v>
      </c>
      <c r="G16" s="64"/>
      <c r="H16" s="65" t="s">
        <v>97</v>
      </c>
      <c r="I16" s="66"/>
      <c r="J16" s="69" t="n">
        <v>15</v>
      </c>
    </row>
    <row r="17" ht="15.75" customHeight="1">
      <c r="A17" s="60" t="n">
        <v>46177</v>
      </c>
      <c r="B17" s="60" t="n">
        <v>46177</v>
      </c>
      <c r="C17" s="61" t="s">
        <v>21</v>
      </c>
      <c r="D17" s="62" t="s">
        <v>80</v>
      </c>
      <c r="E17" s="63" t="n">
        <v>44.84</v>
      </c>
      <c r="F17" s="57" t="n">
        <v>2094.93</v>
      </c>
      <c r="G17" s="139" t="s">
        <v>71</v>
      </c>
      <c r="H17" s="65" t="s">
        <v>98</v>
      </c>
      <c r="I17" s="66"/>
      <c r="J17" s="67" t="s">
        <v>82</v>
      </c>
    </row>
    <row r="18" ht="18" customHeight="1">
      <c r="A18" s="60" t="n">
        <v>46175</v>
      </c>
      <c r="B18" s="60" t="n">
        <v>46175</v>
      </c>
      <c r="C18" s="61" t="s">
        <v>87</v>
      </c>
      <c r="D18" s="71" t="s">
        <v>99</v>
      </c>
      <c r="E18" s="63" t="n">
        <v>3089</v>
      </c>
      <c r="F18" s="63" t="n">
        <v>3089</v>
      </c>
      <c r="G18" s="64"/>
      <c r="H18" s="65" t="s">
        <v>100</v>
      </c>
      <c r="I18" s="66"/>
      <c r="J18" s="69" t="n">
        <v>17</v>
      </c>
    </row>
    <row r="19" ht="15.75" customHeight="1">
      <c r="A19" s="60" t="n">
        <v>46177</v>
      </c>
      <c r="B19" s="60" t="n">
        <v>46177</v>
      </c>
      <c r="C19" s="61" t="s">
        <v>21</v>
      </c>
      <c r="D19" s="62" t="s">
        <v>80</v>
      </c>
      <c r="E19" s="63" t="n">
        <v>14</v>
      </c>
      <c r="F19" s="57" t="n">
        <v>2094.93</v>
      </c>
      <c r="G19" s="139" t="s">
        <v>71</v>
      </c>
      <c r="H19" s="65" t="s">
        <v>101</v>
      </c>
      <c r="I19" s="66"/>
      <c r="J19" s="67" t="s">
        <v>82</v>
      </c>
    </row>
    <row r="20" ht="15.75" customHeight="1">
      <c r="A20" s="60" t="n">
        <v>46177</v>
      </c>
      <c r="B20" s="60" t="n">
        <v>46177</v>
      </c>
      <c r="C20" s="61" t="s">
        <v>21</v>
      </c>
      <c r="D20" s="62" t="s">
        <v>80</v>
      </c>
      <c r="E20" s="63" t="n">
        <v>444.49</v>
      </c>
      <c r="F20" s="57" t="n">
        <v>2094.93</v>
      </c>
      <c r="G20" s="139" t="s">
        <v>71</v>
      </c>
      <c r="H20" s="65" t="s">
        <v>102</v>
      </c>
      <c r="I20" s="66"/>
      <c r="J20" s="67" t="s">
        <v>82</v>
      </c>
    </row>
    <row r="21" ht="18" customHeight="1">
      <c r="A21" s="60" t="n">
        <v>46161</v>
      </c>
      <c r="B21" s="60" t="n">
        <v>46161</v>
      </c>
      <c r="C21" s="61" t="s">
        <v>87</v>
      </c>
      <c r="D21" s="71" t="s">
        <v>88</v>
      </c>
      <c r="E21" s="63" t="n">
        <v>242</v>
      </c>
      <c r="F21" s="63" t="n">
        <v>242</v>
      </c>
      <c r="G21" s="64"/>
      <c r="H21" s="65" t="s">
        <v>103</v>
      </c>
      <c r="I21" s="66"/>
      <c r="J21" s="69" t="n">
        <v>20</v>
      </c>
    </row>
    <row r="22" ht="18" customHeight="1">
      <c r="A22" s="60" t="n">
        <v>46177</v>
      </c>
      <c r="B22" s="60" t="n">
        <v>46177</v>
      </c>
      <c r="C22" s="61" t="s">
        <v>21</v>
      </c>
      <c r="D22" s="71" t="s">
        <v>104</v>
      </c>
      <c r="E22" s="63" t="n">
        <v>124</v>
      </c>
      <c r="F22" s="63" t="n">
        <v>124</v>
      </c>
      <c r="G22" s="64"/>
      <c r="H22" s="65" t="s">
        <v>105</v>
      </c>
      <c r="I22" s="66"/>
      <c r="J22" s="69" t="n">
        <v>21</v>
      </c>
    </row>
    <row r="23" ht="18" customHeight="1">
      <c r="A23" s="60" t="n">
        <v>46165</v>
      </c>
      <c r="B23" s="60" t="n">
        <v>46165</v>
      </c>
      <c r="C23" s="61" t="s">
        <v>21</v>
      </c>
      <c r="D23" s="71" t="s">
        <v>39</v>
      </c>
      <c r="E23" s="63" t="n">
        <v>312</v>
      </c>
      <c r="F23" s="63" t="n">
        <v>312</v>
      </c>
      <c r="G23" s="64"/>
      <c r="H23" s="65" t="s">
        <v>106</v>
      </c>
      <c r="I23" s="66"/>
      <c r="J23" s="69" t="n">
        <v>22</v>
      </c>
    </row>
    <row r="24" ht="18" customHeight="1">
      <c r="A24" s="60" t="n">
        <v>46175</v>
      </c>
      <c r="B24" s="60" t="n">
        <v>46175</v>
      </c>
      <c r="C24" s="61" t="s">
        <v>21</v>
      </c>
      <c r="D24" s="71" t="s">
        <v>107</v>
      </c>
      <c r="E24" s="63" t="n">
        <v>33.94</v>
      </c>
      <c r="F24" s="63" t="n">
        <v>33.94</v>
      </c>
      <c r="G24" s="64"/>
      <c r="H24" s="65" t="s">
        <v>108</v>
      </c>
      <c r="I24" s="66"/>
      <c r="J24" s="72" t="s">
        <v>109</v>
      </c>
    </row>
    <row r="25" ht="18" customHeight="1">
      <c r="A25" s="60" t="n">
        <v>46163</v>
      </c>
      <c r="B25" s="60" t="n">
        <v>46163</v>
      </c>
      <c r="C25" s="61" t="s">
        <v>87</v>
      </c>
      <c r="D25" s="71" t="s">
        <v>88</v>
      </c>
      <c r="E25" s="63" t="n">
        <v>327.9</v>
      </c>
      <c r="F25" s="63" t="n">
        <v>327.9</v>
      </c>
      <c r="G25" s="64"/>
      <c r="H25" s="65" t="s">
        <v>110</v>
      </c>
      <c r="I25" s="66"/>
      <c r="J25" s="69" t="n">
        <v>24</v>
      </c>
    </row>
    <row r="26" ht="15.75" customHeight="1">
      <c r="A26" s="60" t="n">
        <v>46177</v>
      </c>
      <c r="B26" s="60" t="n">
        <v>46177</v>
      </c>
      <c r="C26" s="61" t="s">
        <v>21</v>
      </c>
      <c r="D26" s="71" t="s">
        <v>80</v>
      </c>
      <c r="E26" s="63" t="n">
        <v>45</v>
      </c>
      <c r="F26" s="73" t="n">
        <v>707.12</v>
      </c>
      <c r="G26" s="139" t="s">
        <v>71</v>
      </c>
      <c r="H26" s="65" t="s">
        <v>111</v>
      </c>
      <c r="I26" s="66"/>
      <c r="J26" s="69" t="s">
        <v>112</v>
      </c>
    </row>
    <row r="27" ht="46.04999999999999" customHeight="1">
      <c r="A27" s="60" t="n">
        <v>46173</v>
      </c>
      <c r="B27" s="60" t="n">
        <v>46173</v>
      </c>
      <c r="C27" s="61" t="s">
        <v>21</v>
      </c>
      <c r="D27" s="71" t="s">
        <v>113</v>
      </c>
      <c r="E27" s="63" t="n">
        <v>212.78</v>
      </c>
      <c r="F27" s="63" t="n">
        <v>212.78</v>
      </c>
      <c r="G27" s="64"/>
      <c r="H27" s="65" t="s">
        <v>114</v>
      </c>
      <c r="I27" s="66"/>
      <c r="J27" s="69" t="s">
        <v>115</v>
      </c>
    </row>
    <row r="28" ht="41" customHeight="1">
      <c r="A28" s="60" t="n">
        <v>46175</v>
      </c>
      <c r="B28" s="60" t="n">
        <v>46175</v>
      </c>
      <c r="C28" s="61" t="s">
        <v>21</v>
      </c>
      <c r="D28" s="71" t="s">
        <v>116</v>
      </c>
      <c r="E28" s="63" t="n">
        <v>13.87</v>
      </c>
      <c r="F28" s="63" t="n">
        <v>13.87</v>
      </c>
      <c r="G28" s="64"/>
      <c r="H28" s="65" t="s">
        <v>117</v>
      </c>
      <c r="I28" s="66"/>
      <c r="J28" s="69" t="n">
        <v>27</v>
      </c>
    </row>
    <row r="29" ht="18" customHeight="1">
      <c r="A29" s="60" t="n">
        <v>46164</v>
      </c>
      <c r="B29" s="60" t="n">
        <v>46164</v>
      </c>
      <c r="C29" s="61" t="s">
        <v>21</v>
      </c>
      <c r="D29" s="71" t="s">
        <v>118</v>
      </c>
      <c r="E29" s="63" t="n">
        <v>75.7</v>
      </c>
      <c r="F29" s="63" t="n">
        <v>75.7</v>
      </c>
      <c r="G29" s="64"/>
      <c r="H29" s="65" t="s">
        <v>119</v>
      </c>
      <c r="I29" s="66"/>
      <c r="J29" s="69" t="n">
        <v>28</v>
      </c>
    </row>
    <row r="30" ht="18" customHeight="1">
      <c r="A30" s="60" t="n">
        <v>46175</v>
      </c>
      <c r="B30" s="60" t="n">
        <v>46175</v>
      </c>
      <c r="C30" s="61" t="s">
        <v>21</v>
      </c>
      <c r="D30" s="71" t="s">
        <v>120</v>
      </c>
      <c r="E30" s="63" t="n">
        <v>65.34</v>
      </c>
      <c r="F30" s="63" t="n">
        <v>65.34</v>
      </c>
      <c r="G30" s="64"/>
      <c r="H30" s="65" t="s">
        <v>121</v>
      </c>
      <c r="I30" s="66"/>
      <c r="J30" s="69" t="n">
        <v>29</v>
      </c>
    </row>
    <row r="31" ht="18" customHeight="1">
      <c r="A31" s="60" t="n">
        <v>46175</v>
      </c>
      <c r="B31" s="60" t="n">
        <v>46175</v>
      </c>
      <c r="C31" s="61" t="s">
        <v>21</v>
      </c>
      <c r="D31" s="71" t="s">
        <v>104</v>
      </c>
      <c r="E31" s="63" t="n">
        <v>53.8</v>
      </c>
      <c r="F31" s="63" t="n">
        <v>53.8</v>
      </c>
      <c r="G31" s="63"/>
      <c r="H31" s="65" t="s">
        <v>122</v>
      </c>
      <c r="I31" s="66"/>
      <c r="J31" s="69" t="n">
        <v>30</v>
      </c>
    </row>
    <row r="32" ht="15.75" customHeight="1">
      <c r="A32" s="60" t="n">
        <v>46175</v>
      </c>
      <c r="B32" s="60" t="n">
        <v>46175</v>
      </c>
      <c r="C32" s="61" t="s">
        <v>87</v>
      </c>
      <c r="D32" s="71" t="s">
        <v>80</v>
      </c>
      <c r="E32" s="63" t="n">
        <v>2590</v>
      </c>
      <c r="F32" s="73" t="n">
        <v>2610.87</v>
      </c>
      <c r="G32" s="139" t="s">
        <v>71</v>
      </c>
      <c r="H32" s="65" t="s">
        <v>123</v>
      </c>
      <c r="I32" s="66"/>
      <c r="J32" s="69" t="s">
        <v>124</v>
      </c>
    </row>
    <row r="33" ht="18" customHeight="1">
      <c r="A33" s="60" t="n">
        <v>46167</v>
      </c>
      <c r="B33" s="60" t="n">
        <v>46167</v>
      </c>
      <c r="C33" s="61" t="s">
        <v>25</v>
      </c>
      <c r="D33" s="71" t="s">
        <v>125</v>
      </c>
      <c r="E33" s="63" t="n">
        <v>4900</v>
      </c>
      <c r="F33" s="63" t="n">
        <v>4900</v>
      </c>
      <c r="G33" s="64"/>
      <c r="H33" s="65" t="s">
        <v>126</v>
      </c>
      <c r="I33" s="66"/>
      <c r="J33" s="69" t="n">
        <v>32</v>
      </c>
    </row>
    <row r="34" ht="18" customHeight="1">
      <c r="A34" s="60" t="n">
        <v>46168</v>
      </c>
      <c r="B34" s="60" t="n">
        <v>46168</v>
      </c>
      <c r="C34" s="61" t="s">
        <v>87</v>
      </c>
      <c r="D34" s="71" t="s">
        <v>127</v>
      </c>
      <c r="E34" s="63" t="n">
        <v>2646</v>
      </c>
      <c r="F34" s="63" t="n">
        <v>2646</v>
      </c>
      <c r="G34" s="64"/>
      <c r="H34" s="65" t="s">
        <v>128</v>
      </c>
      <c r="I34" s="66"/>
      <c r="J34" s="69" t="n">
        <v>33</v>
      </c>
    </row>
    <row r="35" ht="15.75" customHeight="1">
      <c r="A35" s="60" t="n">
        <v>46177</v>
      </c>
      <c r="B35" s="60" t="n">
        <v>46177</v>
      </c>
      <c r="C35" s="61" t="s">
        <v>21</v>
      </c>
      <c r="D35" s="71" t="s">
        <v>80</v>
      </c>
      <c r="E35" s="63" t="n">
        <v>144.9</v>
      </c>
      <c r="F35" s="73" t="n">
        <v>707.12</v>
      </c>
      <c r="G35" s="139" t="s">
        <v>71</v>
      </c>
      <c r="H35" s="65" t="s">
        <v>129</v>
      </c>
      <c r="I35" s="66"/>
      <c r="J35" s="69" t="s">
        <v>112</v>
      </c>
    </row>
    <row r="36" ht="18" customHeight="1">
      <c r="A36" s="60" t="n">
        <v>46170</v>
      </c>
      <c r="B36" s="60" t="n">
        <v>46170</v>
      </c>
      <c r="C36" s="61" t="s">
        <v>87</v>
      </c>
      <c r="D36" s="71" t="s">
        <v>88</v>
      </c>
      <c r="E36" s="63" t="n">
        <v>528</v>
      </c>
      <c r="F36" s="63" t="n">
        <v>528</v>
      </c>
      <c r="G36" s="64"/>
      <c r="H36" s="65" t="s">
        <v>130</v>
      </c>
      <c r="I36" s="66"/>
      <c r="J36" s="69" t="n">
        <v>35</v>
      </c>
    </row>
    <row r="37" ht="18" customHeight="1">
      <c r="A37" s="60" t="n">
        <v>46168</v>
      </c>
      <c r="B37" s="60" t="n">
        <v>46168</v>
      </c>
      <c r="C37" s="61" t="s">
        <v>87</v>
      </c>
      <c r="D37" s="71" t="s">
        <v>88</v>
      </c>
      <c r="E37" s="63" t="n">
        <v>633</v>
      </c>
      <c r="F37" s="63" t="n">
        <v>633</v>
      </c>
      <c r="G37" s="64"/>
      <c r="H37" s="65" t="s">
        <v>130</v>
      </c>
      <c r="I37" s="66"/>
      <c r="J37" s="69" t="n">
        <v>36</v>
      </c>
    </row>
    <row r="38" ht="18" customHeight="1">
      <c r="A38" s="60" t="n">
        <v>46175</v>
      </c>
      <c r="B38" s="60" t="n">
        <v>46175</v>
      </c>
      <c r="C38" s="61" t="s">
        <v>25</v>
      </c>
      <c r="D38" s="71" t="s">
        <v>104</v>
      </c>
      <c r="E38" s="63" t="n">
        <v>4670</v>
      </c>
      <c r="F38" s="63" t="n">
        <v>4670</v>
      </c>
      <c r="G38" s="64"/>
      <c r="H38" s="65" t="s">
        <v>131</v>
      </c>
      <c r="I38" s="66"/>
      <c r="J38" s="69" t="n">
        <v>37</v>
      </c>
    </row>
    <row r="39" ht="18" customHeight="1">
      <c r="A39" s="60" t="n">
        <v>46171</v>
      </c>
      <c r="B39" s="60" t="n">
        <v>46171</v>
      </c>
      <c r="C39" s="61" t="s">
        <v>87</v>
      </c>
      <c r="D39" s="71" t="s">
        <v>132</v>
      </c>
      <c r="E39" s="63" t="n">
        <v>900</v>
      </c>
      <c r="F39" s="73" t="n">
        <v>900</v>
      </c>
      <c r="G39" s="64"/>
      <c r="H39" s="65" t="s">
        <v>133</v>
      </c>
      <c r="I39" s="66"/>
      <c r="J39" s="69" t="n">
        <v>38</v>
      </c>
    </row>
    <row r="40" ht="18" customHeight="1">
      <c r="A40" s="60" t="n">
        <v>46174</v>
      </c>
      <c r="B40" s="60" t="n">
        <v>46174</v>
      </c>
      <c r="C40" s="61" t="s">
        <v>21</v>
      </c>
      <c r="D40" s="71" t="s">
        <v>134</v>
      </c>
      <c r="E40" s="63" t="n">
        <v>475</v>
      </c>
      <c r="F40" s="73" t="n">
        <v>475</v>
      </c>
      <c r="G40" s="64"/>
      <c r="H40" s="65" t="s">
        <v>135</v>
      </c>
      <c r="I40" s="66"/>
      <c r="J40" s="69" t="n">
        <v>39</v>
      </c>
    </row>
    <row r="41" ht="18" customHeight="1">
      <c r="A41" s="60" t="n">
        <v>46170</v>
      </c>
      <c r="B41" s="60" t="n">
        <v>46170</v>
      </c>
      <c r="C41" s="61" t="s">
        <v>87</v>
      </c>
      <c r="D41" s="71" t="s">
        <v>88</v>
      </c>
      <c r="E41" s="63" t="n">
        <v>524</v>
      </c>
      <c r="F41" s="63" t="n">
        <v>524</v>
      </c>
      <c r="G41" s="64"/>
      <c r="H41" s="65" t="s">
        <v>136</v>
      </c>
      <c r="I41" s="66"/>
      <c r="J41" s="69" t="n">
        <v>40</v>
      </c>
    </row>
    <row r="42" ht="18" customHeight="1">
      <c r="A42" s="60" t="n">
        <v>46169</v>
      </c>
      <c r="B42" s="60" t="n">
        <v>46169</v>
      </c>
      <c r="C42" s="61" t="s">
        <v>87</v>
      </c>
      <c r="D42" s="71" t="s">
        <v>88</v>
      </c>
      <c r="E42" s="63" t="n">
        <v>338</v>
      </c>
      <c r="F42" s="73" t="n">
        <v>338</v>
      </c>
      <c r="G42" s="64"/>
      <c r="H42" s="65" t="s">
        <v>137</v>
      </c>
      <c r="I42" s="66"/>
      <c r="J42" s="69" t="n">
        <v>41</v>
      </c>
    </row>
    <row r="43" ht="18" customHeight="1">
      <c r="A43" s="60" t="n">
        <v>46174</v>
      </c>
      <c r="B43" s="60" t="n">
        <v>46174</v>
      </c>
      <c r="C43" s="61" t="s">
        <v>87</v>
      </c>
      <c r="D43" s="71" t="s">
        <v>99</v>
      </c>
      <c r="E43" s="63" t="n">
        <v>2086</v>
      </c>
      <c r="F43" s="63" t="n">
        <v>2086</v>
      </c>
      <c r="G43" s="64"/>
      <c r="H43" s="65" t="s">
        <v>138</v>
      </c>
      <c r="I43" s="66"/>
      <c r="J43" s="69" t="n">
        <v>42</v>
      </c>
    </row>
    <row r="44" ht="15.75" customHeight="1">
      <c r="A44" s="60" t="n">
        <v>46177</v>
      </c>
      <c r="B44" s="60" t="n">
        <v>46177</v>
      </c>
      <c r="C44" s="61" t="s">
        <v>21</v>
      </c>
      <c r="D44" s="71" t="s">
        <v>80</v>
      </c>
      <c r="E44" s="63" t="n">
        <v>314</v>
      </c>
      <c r="F44" s="73" t="n">
        <v>707.12</v>
      </c>
      <c r="G44" s="139" t="s">
        <v>71</v>
      </c>
      <c r="H44" s="65" t="s">
        <v>139</v>
      </c>
      <c r="I44" s="66"/>
      <c r="J44" s="69" t="s">
        <v>112</v>
      </c>
    </row>
    <row r="45" ht="18" customHeight="1">
      <c r="A45" s="60" t="n">
        <v>46168</v>
      </c>
      <c r="B45" s="60" t="n">
        <v>46168</v>
      </c>
      <c r="C45" s="61" t="s">
        <v>87</v>
      </c>
      <c r="D45" s="71" t="s">
        <v>127</v>
      </c>
      <c r="E45" s="63" t="n">
        <v>3024</v>
      </c>
      <c r="F45" s="63" t="n">
        <v>3024</v>
      </c>
      <c r="G45" s="64"/>
      <c r="H45" s="65" t="s">
        <v>140</v>
      </c>
      <c r="I45" s="66"/>
      <c r="J45" s="69" t="n">
        <v>44</v>
      </c>
    </row>
    <row r="46" ht="15.75" customHeight="1">
      <c r="A46" s="60" t="n">
        <v>46177</v>
      </c>
      <c r="B46" s="60" t="n">
        <v>46177</v>
      </c>
      <c r="C46" s="61" t="s">
        <v>21</v>
      </c>
      <c r="D46" s="71" t="s">
        <v>80</v>
      </c>
      <c r="E46" s="63" t="n">
        <v>31.79</v>
      </c>
      <c r="F46" s="73" t="n">
        <v>707.12</v>
      </c>
      <c r="G46" s="139" t="s">
        <v>71</v>
      </c>
      <c r="H46" s="65" t="s">
        <v>141</v>
      </c>
      <c r="I46" s="66"/>
      <c r="J46" s="69" t="s">
        <v>112</v>
      </c>
    </row>
    <row r="47" ht="18" customHeight="1">
      <c r="A47" s="60" t="n">
        <v>46174</v>
      </c>
      <c r="B47" s="60" t="n">
        <v>46174</v>
      </c>
      <c r="C47" s="61" t="s">
        <v>25</v>
      </c>
      <c r="D47" s="71" t="s">
        <v>104</v>
      </c>
      <c r="E47" s="63" t="n">
        <v>1390</v>
      </c>
      <c r="F47" s="63" t="n">
        <v>1390</v>
      </c>
      <c r="G47" s="64"/>
      <c r="H47" s="65" t="s">
        <v>142</v>
      </c>
      <c r="I47" s="66"/>
      <c r="J47" s="69" t="n">
        <v>46</v>
      </c>
    </row>
    <row r="48" ht="18" customHeight="1">
      <c r="A48" s="60" t="n">
        <v>46176</v>
      </c>
      <c r="B48" s="60" t="n">
        <v>46176</v>
      </c>
      <c r="C48" s="61" t="s">
        <v>87</v>
      </c>
      <c r="D48" s="71" t="s">
        <v>99</v>
      </c>
      <c r="E48" s="63" t="n">
        <v>2682</v>
      </c>
      <c r="F48" s="63" t="n">
        <v>2682</v>
      </c>
      <c r="G48" s="64"/>
      <c r="H48" s="65" t="s">
        <v>143</v>
      </c>
      <c r="I48" s="66"/>
      <c r="J48" s="69" t="n">
        <v>47</v>
      </c>
    </row>
    <row r="49" ht="18" customHeight="1">
      <c r="A49" s="74" t="n">
        <v>46174</v>
      </c>
      <c r="B49" s="74" t="n">
        <v>46174</v>
      </c>
      <c r="C49" s="61" t="s">
        <v>87</v>
      </c>
      <c r="D49" s="71" t="s">
        <v>88</v>
      </c>
      <c r="E49" s="63" t="n">
        <v>207</v>
      </c>
      <c r="F49" s="63" t="n">
        <v>207</v>
      </c>
      <c r="G49" s="64"/>
      <c r="H49" s="75" t="s">
        <v>103</v>
      </c>
      <c r="I49" s="66"/>
      <c r="J49" s="69" t="n">
        <v>48</v>
      </c>
    </row>
    <row r="50" ht="18" customHeight="1">
      <c r="A50" s="74" t="n">
        <v>46175</v>
      </c>
      <c r="B50" s="74" t="n">
        <v>46175</v>
      </c>
      <c r="C50" s="61" t="s">
        <v>87</v>
      </c>
      <c r="D50" s="71" t="s">
        <v>88</v>
      </c>
      <c r="E50" s="63" t="n">
        <v>225</v>
      </c>
      <c r="F50" s="63" t="n">
        <v>225</v>
      </c>
      <c r="G50" s="64"/>
      <c r="H50" s="75" t="s">
        <v>103</v>
      </c>
      <c r="I50" s="66"/>
      <c r="J50" s="69" t="n">
        <v>49</v>
      </c>
    </row>
    <row r="51" ht="30.75" customHeight="1">
      <c r="A51" s="76" t="n">
        <v>46176</v>
      </c>
      <c r="B51" s="76" t="n">
        <v>46176</v>
      </c>
      <c r="C51" s="61" t="s">
        <v>144</v>
      </c>
      <c r="D51" s="71" t="s">
        <v>145</v>
      </c>
      <c r="E51" s="63" t="n">
        <v>3000</v>
      </c>
      <c r="F51" s="73" t="n">
        <v>3089.81</v>
      </c>
      <c r="G51" s="139" t="s">
        <v>71</v>
      </c>
      <c r="H51" s="65" t="s">
        <v>146</v>
      </c>
      <c r="I51" s="66"/>
      <c r="J51" s="69" t="s">
        <v>147</v>
      </c>
    </row>
    <row r="52" ht="36" customHeight="1">
      <c r="A52" s="76" t="n">
        <v>46177</v>
      </c>
      <c r="B52" s="76" t="n">
        <v>46177</v>
      </c>
      <c r="C52" s="61" t="s">
        <v>25</v>
      </c>
      <c r="D52" s="71" t="s">
        <v>148</v>
      </c>
      <c r="E52" s="63" t="n">
        <v>72.92</v>
      </c>
      <c r="F52" s="63" t="n">
        <v>72.92</v>
      </c>
      <c r="G52" s="64"/>
      <c r="H52" s="75" t="s">
        <v>149</v>
      </c>
      <c r="I52" s="66"/>
      <c r="J52" s="69" t="s">
        <v>150</v>
      </c>
    </row>
    <row r="53" ht="18" customHeight="1">
      <c r="A53" s="77"/>
      <c r="B53" s="77"/>
      <c r="C53" s="78"/>
      <c r="D53" s="71"/>
      <c r="E53" s="79"/>
      <c r="F53" s="73"/>
      <c r="G53" s="64"/>
      <c r="H53" s="80"/>
      <c r="I53" s="66"/>
      <c r="J53" s="69"/>
    </row>
    <row r="54" ht="18" customHeight="1">
      <c r="A54" s="77"/>
      <c r="B54" s="77"/>
      <c r="C54" s="78"/>
      <c r="D54" s="71"/>
      <c r="E54" s="79"/>
      <c r="F54" s="73"/>
      <c r="G54" s="64"/>
      <c r="H54" s="80"/>
      <c r="I54" s="66"/>
      <c r="J54" s="69"/>
    </row>
    <row r="55" ht="18" customHeight="1">
      <c r="A55" s="77"/>
      <c r="B55" s="77"/>
      <c r="C55" s="78"/>
      <c r="D55" s="71"/>
      <c r="E55" s="79"/>
      <c r="F55" s="73"/>
      <c r="G55" s="64"/>
      <c r="H55" s="80"/>
      <c r="I55" s="66"/>
      <c r="J55" s="69"/>
    </row>
    <row r="56" ht="18" customHeight="1">
      <c r="A56" s="77"/>
      <c r="B56" s="77"/>
      <c r="C56" s="78"/>
      <c r="D56" s="71"/>
      <c r="E56" s="79"/>
      <c r="F56" s="81"/>
      <c r="G56" s="82"/>
      <c r="H56" s="83"/>
      <c r="I56" s="66"/>
      <c r="J56" s="69"/>
    </row>
    <row r="57" ht="18" customHeight="1">
      <c r="A57" s="56" t="s">
        <v>7</v>
      </c>
      <c r="B57" s="58"/>
      <c r="C57" s="84" t="n">
        <f>SUM(E6:E56)</f>
        <v>40428.14</v>
      </c>
      <c r="D57" s="85"/>
      <c r="E57" s="85"/>
      <c r="F57" s="86"/>
      <c r="G57" s="87"/>
      <c r="H57" s="88"/>
      <c r="I57" s="66"/>
      <c r="J57" s="69"/>
    </row>
    <row r="58" ht="18" customHeight="1">
      <c r="A58" s="68" t="s">
        <v>76</v>
      </c>
      <c r="B58" s="89"/>
      <c r="C58" s="90" t="s">
        <v>151</v>
      </c>
      <c r="D58" s="91"/>
      <c r="E58" s="91"/>
      <c r="F58" s="92"/>
      <c r="G58" s="93"/>
      <c r="H58" s="94"/>
      <c r="I58" s="66"/>
      <c r="J58" s="69"/>
    </row>
    <row r="59" ht="13.8975" customHeight="1">
      <c r="A59" s="51"/>
      <c r="B59" s="51"/>
      <c r="C59" s="95"/>
      <c r="D59" s="95"/>
      <c r="E59" s="95"/>
      <c r="F59" s="53"/>
    </row>
    <row r="60" ht="18" customHeight="1">
      <c r="A60" s="51"/>
      <c r="B60" s="51"/>
      <c r="C60" s="95"/>
      <c r="D60" s="95"/>
      <c r="F60" s="96" t="s">
        <v>78</v>
      </c>
      <c r="G60" s="54" t="s">
        <v>79</v>
      </c>
    </row>
  </sheetData>
  <mergeCells count="3">
    <mergeCell ref="C58:G58"/>
    <mergeCell ref="C57:G57"/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8975" customHeight="1"/>
  <cols>
    <col min="1" max="1" width="12.6650390625" customWidth="1" style="5"/>
    <col min="2" max="2" width="11.666015625" customWidth="1" style="5"/>
    <col min="3" max="3" width="10.8310546875" customWidth="1" style="5"/>
    <col min="4" max="4" width="14.33203125" customWidth="1" style="5"/>
    <col min="5" max="5" width="15.83203125" customWidth="1" style="126"/>
    <col min="6" max="6" width="23.4990234375" customWidth="1" style="5"/>
    <col min="7" max="7" width="8.8330078125" customWidth="1" style="5"/>
    <col min="8" max="8" width="30.3310546875" customWidth="1" style="5"/>
    <col min="9" max="9" width="12.9990234375" hidden="1" customWidth="1" style="5" outlineLevel="1"/>
    <col min="10" max="10" width="12.9990234375" customWidth="1" style="5"/>
  </cols>
  <sheetData>
    <row r="1" ht="29.649999999999995" customHeight="1">
      <c r="A1" s="48" t="s">
        <v>8</v>
      </c>
      <c r="B1" s="48"/>
      <c r="C1" s="48"/>
      <c r="D1" s="48"/>
      <c r="E1" s="48"/>
      <c r="F1" s="48"/>
    </row>
    <row r="2" ht="13.9" customHeight="1">
      <c r="A2" s="6"/>
      <c r="B2" s="6"/>
      <c r="C2" s="6"/>
      <c r="D2" s="7"/>
      <c r="E2" s="6"/>
      <c r="F2" s="7"/>
    </row>
    <row r="3" ht="15.75" customHeight="1">
      <c r="A3" s="8" t="s">
        <v>9</v>
      </c>
      <c r="B3" s="8" t="s">
        <v>5</v>
      </c>
      <c r="C3" s="6"/>
      <c r="D3" s="7"/>
      <c r="E3" s="8" t="s">
        <v>10</v>
      </c>
      <c r="F3" s="10" t="n">
        <v>46178</v>
      </c>
    </row>
    <row r="4" ht="13.9" customHeight="1">
      <c r="A4" s="6"/>
      <c r="B4" s="6"/>
      <c r="C4" s="7"/>
      <c r="D4" s="7"/>
      <c r="E4" s="6"/>
      <c r="F4" s="7"/>
    </row>
    <row r="5" ht="15.75" customHeight="1">
      <c r="A5" s="11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ht="15.75" customHeight="1">
      <c r="A6" s="98" t="n">
        <v>46177</v>
      </c>
      <c r="B6" s="12" t="n">
        <v>46145</v>
      </c>
      <c r="C6" s="99" t="s">
        <v>152</v>
      </c>
      <c r="D6" s="99" t="s">
        <v>153</v>
      </c>
      <c r="E6" s="21" t="n">
        <v>88</v>
      </c>
      <c r="F6" s="100" t="n">
        <v>1645</v>
      </c>
      <c r="G6" s="139" t="s">
        <v>71</v>
      </c>
      <c r="H6" s="102" t="s">
        <v>154</v>
      </c>
      <c r="I6" s="16"/>
      <c r="J6" s="16" t="n">
        <v>1</v>
      </c>
    </row>
    <row r="7" ht="18" customHeight="1">
      <c r="A7" s="103"/>
      <c r="B7" s="12" t="n">
        <v>46151</v>
      </c>
      <c r="C7" s="104"/>
      <c r="D7" s="104"/>
      <c r="E7" s="21" t="n">
        <v>88</v>
      </c>
      <c r="F7" s="105"/>
      <c r="G7" s="106"/>
      <c r="H7" s="102" t="s">
        <v>154</v>
      </c>
      <c r="I7" s="16"/>
      <c r="J7" s="16" t="n">
        <v>2</v>
      </c>
    </row>
    <row r="8" ht="18" customHeight="1">
      <c r="A8" s="103"/>
      <c r="B8" s="12" t="n">
        <v>46157</v>
      </c>
      <c r="C8" s="104"/>
      <c r="D8" s="104"/>
      <c r="E8" s="21" t="n">
        <v>88</v>
      </c>
      <c r="F8" s="105"/>
      <c r="G8" s="106"/>
      <c r="H8" s="102" t="s">
        <v>154</v>
      </c>
      <c r="I8" s="16"/>
      <c r="J8" s="16" t="n">
        <v>3</v>
      </c>
    </row>
    <row r="9" ht="18" customHeight="1">
      <c r="A9" s="103"/>
      <c r="B9" s="12" t="n">
        <v>46164</v>
      </c>
      <c r="C9" s="104"/>
      <c r="D9" s="104"/>
      <c r="E9" s="21" t="n">
        <v>88</v>
      </c>
      <c r="F9" s="105"/>
      <c r="G9" s="106"/>
      <c r="H9" s="102" t="s">
        <v>154</v>
      </c>
      <c r="I9" s="16"/>
      <c r="J9" s="16" t="n">
        <v>4</v>
      </c>
    </row>
    <row r="10" ht="18" customHeight="1">
      <c r="A10" s="103"/>
      <c r="B10" s="12" t="n">
        <v>338366</v>
      </c>
      <c r="C10" s="104"/>
      <c r="D10" s="104"/>
      <c r="E10" s="21" t="n">
        <v>88</v>
      </c>
      <c r="F10" s="105"/>
      <c r="G10" s="106"/>
      <c r="H10" s="102" t="s">
        <v>154</v>
      </c>
      <c r="I10" s="16"/>
      <c r="J10" s="16" t="n">
        <v>5</v>
      </c>
    </row>
    <row r="11" ht="18" customHeight="1">
      <c r="A11" s="103"/>
      <c r="B11" s="12" t="n">
        <v>46143</v>
      </c>
      <c r="C11" s="104"/>
      <c r="D11" s="104"/>
      <c r="E11" s="21" t="n">
        <v>56</v>
      </c>
      <c r="F11" s="105"/>
      <c r="G11" s="106"/>
      <c r="H11" s="102" t="s">
        <v>155</v>
      </c>
      <c r="I11" s="16"/>
      <c r="J11" s="16" t="n">
        <v>6</v>
      </c>
    </row>
    <row r="12" ht="18" customHeight="1">
      <c r="A12" s="103"/>
      <c r="B12" s="12" t="n">
        <v>46144</v>
      </c>
      <c r="C12" s="104"/>
      <c r="D12" s="104"/>
      <c r="E12" s="21" t="n">
        <v>40</v>
      </c>
      <c r="F12" s="105"/>
      <c r="G12" s="106"/>
      <c r="H12" s="102" t="s">
        <v>156</v>
      </c>
      <c r="I12" s="16"/>
      <c r="J12" s="16" t="n">
        <v>7</v>
      </c>
    </row>
    <row r="13" ht="18" customHeight="1">
      <c r="A13" s="103"/>
      <c r="B13" s="12" t="n">
        <v>46145</v>
      </c>
      <c r="C13" s="104"/>
      <c r="D13" s="104"/>
      <c r="E13" s="21" t="n">
        <v>45</v>
      </c>
      <c r="F13" s="105"/>
      <c r="G13" s="106"/>
      <c r="H13" s="102" t="s">
        <v>157</v>
      </c>
      <c r="I13" s="16"/>
      <c r="J13" s="16" t="n">
        <v>8</v>
      </c>
    </row>
    <row r="14" ht="18" customHeight="1">
      <c r="A14" s="103"/>
      <c r="B14" s="12" t="n">
        <v>46146</v>
      </c>
      <c r="C14" s="104"/>
      <c r="D14" s="104"/>
      <c r="E14" s="21" t="n">
        <v>30</v>
      </c>
      <c r="F14" s="105"/>
      <c r="G14" s="106"/>
      <c r="H14" s="102" t="s">
        <v>158</v>
      </c>
      <c r="I14" s="16"/>
      <c r="J14" s="16" t="n">
        <v>9</v>
      </c>
    </row>
    <row r="15" ht="18" customHeight="1">
      <c r="A15" s="103"/>
      <c r="B15" s="12" t="n">
        <v>46149</v>
      </c>
      <c r="C15" s="104"/>
      <c r="D15" s="104"/>
      <c r="E15" s="21" t="n">
        <v>40</v>
      </c>
      <c r="F15" s="105"/>
      <c r="G15" s="106"/>
      <c r="H15" s="102" t="s">
        <v>159</v>
      </c>
      <c r="I15" s="16"/>
      <c r="J15" s="16" t="n">
        <v>10</v>
      </c>
    </row>
    <row r="16" ht="18" customHeight="1">
      <c r="A16" s="103"/>
      <c r="B16" s="12" t="n">
        <v>46150</v>
      </c>
      <c r="C16" s="104"/>
      <c r="D16" s="104"/>
      <c r="E16" s="21" t="n">
        <v>30</v>
      </c>
      <c r="F16" s="105"/>
      <c r="G16" s="106"/>
      <c r="H16" s="102" t="s">
        <v>160</v>
      </c>
      <c r="I16" s="16"/>
      <c r="J16" s="16" t="n">
        <v>11</v>
      </c>
    </row>
    <row r="17" ht="18" customHeight="1">
      <c r="A17" s="103"/>
      <c r="B17" s="12" t="n">
        <v>46151</v>
      </c>
      <c r="C17" s="104"/>
      <c r="D17" s="104"/>
      <c r="E17" s="21" t="n">
        <v>60</v>
      </c>
      <c r="F17" s="105"/>
      <c r="G17" s="106"/>
      <c r="H17" s="102" t="s">
        <v>161</v>
      </c>
      <c r="I17" s="16"/>
      <c r="J17" s="16" t="n">
        <v>12</v>
      </c>
    </row>
    <row r="18" ht="18" customHeight="1">
      <c r="A18" s="103"/>
      <c r="B18" s="12" t="n">
        <v>46152</v>
      </c>
      <c r="C18" s="104"/>
      <c r="D18" s="104"/>
      <c r="E18" s="21" t="n">
        <v>30</v>
      </c>
      <c r="F18" s="105"/>
      <c r="G18" s="106"/>
      <c r="H18" s="102" t="s">
        <v>162</v>
      </c>
      <c r="I18" s="16"/>
      <c r="J18" s="16" t="n">
        <v>13</v>
      </c>
    </row>
    <row r="19" ht="18" customHeight="1">
      <c r="A19" s="103"/>
      <c r="B19" s="12" t="n">
        <v>46154</v>
      </c>
      <c r="C19" s="104"/>
      <c r="D19" s="104"/>
      <c r="E19" s="21" t="n">
        <v>40</v>
      </c>
      <c r="F19" s="105"/>
      <c r="G19" s="106"/>
      <c r="H19" s="102" t="s">
        <v>159</v>
      </c>
      <c r="I19" s="16"/>
      <c r="J19" s="16" t="n">
        <v>14</v>
      </c>
    </row>
    <row r="20" ht="18" customHeight="1">
      <c r="A20" s="103"/>
      <c r="B20" s="12" t="n">
        <v>46155</v>
      </c>
      <c r="C20" s="104"/>
      <c r="D20" s="104"/>
      <c r="E20" s="21" t="n">
        <v>20</v>
      </c>
      <c r="F20" s="105"/>
      <c r="G20" s="106"/>
      <c r="H20" s="102" t="s">
        <v>163</v>
      </c>
      <c r="I20" s="16"/>
      <c r="J20" s="16" t="n">
        <v>15</v>
      </c>
    </row>
    <row r="21" ht="18" customHeight="1">
      <c r="A21" s="103"/>
      <c r="B21" s="12" t="n">
        <v>46156</v>
      </c>
      <c r="C21" s="104"/>
      <c r="D21" s="104"/>
      <c r="E21" s="21" t="n">
        <v>50</v>
      </c>
      <c r="F21" s="105"/>
      <c r="G21" s="106"/>
      <c r="H21" s="102" t="s">
        <v>164</v>
      </c>
      <c r="I21" s="16"/>
      <c r="J21" s="16" t="n">
        <v>16</v>
      </c>
    </row>
    <row r="22" ht="18" customHeight="1">
      <c r="A22" s="103"/>
      <c r="B22" s="12" t="n">
        <v>46158</v>
      </c>
      <c r="C22" s="104"/>
      <c r="D22" s="104"/>
      <c r="E22" s="21" t="n">
        <v>20</v>
      </c>
      <c r="F22" s="105"/>
      <c r="G22" s="106"/>
      <c r="H22" s="102" t="s">
        <v>156</v>
      </c>
      <c r="I22" s="16"/>
      <c r="J22" s="16" t="n">
        <v>17</v>
      </c>
    </row>
    <row r="23" ht="18" customHeight="1">
      <c r="A23" s="103"/>
      <c r="B23" s="12" t="n">
        <v>46159</v>
      </c>
      <c r="C23" s="104"/>
      <c r="D23" s="104"/>
      <c r="E23" s="21" t="n">
        <v>60</v>
      </c>
      <c r="F23" s="105"/>
      <c r="G23" s="106"/>
      <c r="H23" s="102" t="s">
        <v>165</v>
      </c>
      <c r="I23" s="16"/>
      <c r="J23" s="16" t="n">
        <v>18</v>
      </c>
    </row>
    <row r="24" ht="18" customHeight="1">
      <c r="A24" s="103"/>
      <c r="B24" s="12" t="n">
        <v>46160</v>
      </c>
      <c r="C24" s="104"/>
      <c r="D24" s="104"/>
      <c r="E24" s="21" t="n">
        <v>30</v>
      </c>
      <c r="F24" s="105"/>
      <c r="G24" s="106"/>
      <c r="H24" s="102" t="s">
        <v>166</v>
      </c>
      <c r="I24" s="16"/>
      <c r="J24" s="16" t="n">
        <v>19</v>
      </c>
    </row>
    <row r="25" ht="18" customHeight="1">
      <c r="A25" s="103"/>
      <c r="B25" s="12" t="n">
        <v>46162</v>
      </c>
      <c r="C25" s="104"/>
      <c r="D25" s="104"/>
      <c r="E25" s="21" t="n">
        <v>35</v>
      </c>
      <c r="F25" s="105"/>
      <c r="G25" s="106"/>
      <c r="H25" s="102" t="s">
        <v>167</v>
      </c>
      <c r="I25" s="16"/>
      <c r="J25" s="16" t="n">
        <v>20</v>
      </c>
    </row>
    <row r="26" ht="18" customHeight="1">
      <c r="A26" s="103"/>
      <c r="B26" s="12" t="n">
        <v>46163</v>
      </c>
      <c r="C26" s="104"/>
      <c r="D26" s="104"/>
      <c r="E26" s="21" t="n">
        <v>55</v>
      </c>
      <c r="F26" s="105"/>
      <c r="G26" s="106"/>
      <c r="H26" s="102" t="s">
        <v>168</v>
      </c>
      <c r="I26" s="16"/>
      <c r="J26" s="16" t="n">
        <v>21</v>
      </c>
    </row>
    <row r="27" ht="18" customHeight="1">
      <c r="A27" s="103"/>
      <c r="B27" s="12" t="n">
        <v>46165</v>
      </c>
      <c r="C27" s="104"/>
      <c r="D27" s="104"/>
      <c r="E27" s="21" t="n">
        <v>20</v>
      </c>
      <c r="F27" s="105"/>
      <c r="G27" s="106"/>
      <c r="H27" s="102" t="s">
        <v>169</v>
      </c>
      <c r="I27" s="16"/>
      <c r="J27" s="16" t="n">
        <v>22</v>
      </c>
    </row>
    <row r="28" ht="18" customHeight="1">
      <c r="A28" s="103"/>
      <c r="B28" s="12" t="n">
        <v>46166</v>
      </c>
      <c r="C28" s="104"/>
      <c r="D28" s="104"/>
      <c r="E28" s="21" t="n">
        <v>18</v>
      </c>
      <c r="F28" s="105"/>
      <c r="G28" s="106"/>
      <c r="H28" s="102" t="s">
        <v>170</v>
      </c>
      <c r="I28" s="16"/>
      <c r="J28" s="16" t="n">
        <v>23</v>
      </c>
    </row>
    <row r="29" ht="18" customHeight="1">
      <c r="A29" s="103"/>
      <c r="B29" s="12" t="n">
        <v>46167</v>
      </c>
      <c r="C29" s="104"/>
      <c r="D29" s="104"/>
      <c r="E29" s="21" t="n">
        <v>66</v>
      </c>
      <c r="F29" s="105"/>
      <c r="G29" s="106"/>
      <c r="H29" s="102" t="s">
        <v>171</v>
      </c>
      <c r="I29" s="16"/>
      <c r="J29" s="16" t="n">
        <v>24</v>
      </c>
    </row>
    <row r="30" ht="18" customHeight="1">
      <c r="A30" s="103"/>
      <c r="B30" s="12" t="n">
        <v>46168</v>
      </c>
      <c r="C30" s="104"/>
      <c r="D30" s="104"/>
      <c r="E30" s="21" t="n">
        <v>25</v>
      </c>
      <c r="F30" s="105"/>
      <c r="G30" s="106"/>
      <c r="H30" s="102" t="s">
        <v>158</v>
      </c>
      <c r="I30" s="16"/>
      <c r="J30" s="16" t="n">
        <v>25</v>
      </c>
    </row>
    <row r="31" ht="18" customHeight="1">
      <c r="A31" s="103"/>
      <c r="B31" s="12" t="n">
        <v>46169</v>
      </c>
      <c r="C31" s="104"/>
      <c r="D31" s="104"/>
      <c r="E31" s="21" t="n">
        <v>45</v>
      </c>
      <c r="F31" s="105"/>
      <c r="G31" s="106"/>
      <c r="H31" s="102" t="s">
        <v>172</v>
      </c>
      <c r="I31" s="16"/>
      <c r="J31" s="16" t="n">
        <v>26</v>
      </c>
    </row>
    <row r="32" ht="18" customHeight="1">
      <c r="A32" s="103"/>
      <c r="B32" s="12" t="n">
        <v>46170</v>
      </c>
      <c r="C32" s="104"/>
      <c r="D32" s="104"/>
      <c r="E32" s="21" t="n">
        <v>80</v>
      </c>
      <c r="F32" s="105"/>
      <c r="G32" s="106"/>
      <c r="H32" s="102" t="s">
        <v>173</v>
      </c>
      <c r="I32" s="16"/>
      <c r="J32" s="16" t="n">
        <v>27</v>
      </c>
    </row>
    <row r="33" ht="18" customHeight="1">
      <c r="A33" s="103"/>
      <c r="B33" s="12" t="n">
        <v>46171</v>
      </c>
      <c r="C33" s="104"/>
      <c r="D33" s="104"/>
      <c r="E33" s="21" t="n">
        <v>65</v>
      </c>
      <c r="F33" s="105"/>
      <c r="G33" s="106"/>
      <c r="H33" s="102" t="s">
        <v>174</v>
      </c>
      <c r="I33" s="16"/>
      <c r="J33" s="16" t="n">
        <v>28</v>
      </c>
    </row>
    <row r="34" ht="18" customHeight="1">
      <c r="A34" s="103"/>
      <c r="B34" s="12" t="n">
        <v>46172</v>
      </c>
      <c r="C34" s="104"/>
      <c r="D34" s="104"/>
      <c r="E34" s="21" t="n">
        <v>30</v>
      </c>
      <c r="F34" s="105"/>
      <c r="G34" s="106"/>
      <c r="H34" s="102" t="s">
        <v>175</v>
      </c>
      <c r="I34" s="16"/>
      <c r="J34" s="16" t="n">
        <v>29</v>
      </c>
    </row>
    <row r="35" ht="18" customHeight="1">
      <c r="A35" s="103"/>
      <c r="B35" s="12" t="n">
        <v>46143</v>
      </c>
      <c r="C35" s="104"/>
      <c r="D35" s="104"/>
      <c r="E35" s="21" t="n">
        <v>29</v>
      </c>
      <c r="F35" s="105"/>
      <c r="G35" s="106"/>
      <c r="H35" s="102" t="s">
        <v>176</v>
      </c>
      <c r="I35" s="16"/>
      <c r="J35" s="16" t="n">
        <v>30</v>
      </c>
    </row>
    <row r="36" ht="18" customHeight="1">
      <c r="A36" s="103"/>
      <c r="B36" s="12" t="n">
        <v>46144</v>
      </c>
      <c r="C36" s="104"/>
      <c r="D36" s="104"/>
      <c r="E36" s="21" t="n">
        <v>32</v>
      </c>
      <c r="F36" s="105"/>
      <c r="G36" s="106"/>
      <c r="H36" s="102" t="s">
        <v>176</v>
      </c>
      <c r="I36" s="16"/>
      <c r="J36" s="16" t="n">
        <v>31</v>
      </c>
    </row>
    <row r="37" ht="18" customHeight="1">
      <c r="A37" s="103"/>
      <c r="B37" s="12" t="n">
        <v>46145</v>
      </c>
      <c r="C37" s="104"/>
      <c r="D37" s="104"/>
      <c r="E37" s="21" t="n">
        <v>35</v>
      </c>
      <c r="F37" s="105"/>
      <c r="G37" s="106"/>
      <c r="H37" s="102" t="s">
        <v>176</v>
      </c>
      <c r="I37" s="16"/>
      <c r="J37" s="16" t="n">
        <v>32</v>
      </c>
    </row>
    <row r="38" ht="18" customHeight="1">
      <c r="A38" s="103"/>
      <c r="B38" s="12" t="n">
        <v>46146</v>
      </c>
      <c r="C38" s="104"/>
      <c r="D38" s="104"/>
      <c r="E38" s="21" t="n">
        <v>33</v>
      </c>
      <c r="F38" s="105"/>
      <c r="G38" s="106"/>
      <c r="H38" s="102" t="s">
        <v>176</v>
      </c>
      <c r="I38" s="16"/>
      <c r="J38" s="16" t="n">
        <v>33</v>
      </c>
    </row>
    <row r="39" ht="18" customHeight="1">
      <c r="A39" s="103"/>
      <c r="B39" s="12" t="n">
        <v>46151</v>
      </c>
      <c r="C39" s="104"/>
      <c r="D39" s="104"/>
      <c r="E39" s="21" t="n">
        <v>28</v>
      </c>
      <c r="F39" s="105"/>
      <c r="G39" s="106"/>
      <c r="H39" s="102" t="s">
        <v>176</v>
      </c>
      <c r="I39" s="16"/>
      <c r="J39" s="16" t="n">
        <v>34</v>
      </c>
    </row>
    <row r="40" ht="18" customHeight="1">
      <c r="A40" s="103"/>
      <c r="B40" s="12" t="n">
        <v>46159</v>
      </c>
      <c r="C40" s="104"/>
      <c r="D40" s="104"/>
      <c r="E40" s="21" t="n">
        <v>30</v>
      </c>
      <c r="F40" s="105"/>
      <c r="G40" s="106"/>
      <c r="H40" s="102" t="s">
        <v>176</v>
      </c>
      <c r="I40" s="16"/>
      <c r="J40" s="16" t="n">
        <v>35</v>
      </c>
    </row>
    <row r="41" ht="18" customHeight="1">
      <c r="A41" s="107"/>
      <c r="B41" s="12" t="n">
        <v>46165</v>
      </c>
      <c r="C41" s="104"/>
      <c r="D41" s="108"/>
      <c r="E41" s="21" t="n">
        <v>28</v>
      </c>
      <c r="F41" s="109"/>
      <c r="G41" s="110"/>
      <c r="H41" s="102" t="s">
        <v>176</v>
      </c>
      <c r="I41" s="16"/>
      <c r="J41" s="16" t="n">
        <v>36</v>
      </c>
    </row>
    <row r="42" ht="15.75" customHeight="1">
      <c r="A42" s="22" t="n">
        <v>46177</v>
      </c>
      <c r="B42" s="98" t="n">
        <v>46143</v>
      </c>
      <c r="C42" s="111" t="s">
        <v>152</v>
      </c>
      <c r="D42" s="111" t="s">
        <v>153</v>
      </c>
      <c r="E42" s="112" t="n">
        <v>2000</v>
      </c>
      <c r="F42" s="20" t="n">
        <v>1700</v>
      </c>
      <c r="G42" s="139" t="s">
        <v>71</v>
      </c>
      <c r="H42" s="113" t="s">
        <v>177</v>
      </c>
      <c r="I42" s="28"/>
      <c r="J42" s="16" t="s">
        <v>178</v>
      </c>
    </row>
    <row r="43" ht="15.75" customHeight="1">
      <c r="A43" s="12" t="n">
        <v>46158</v>
      </c>
      <c r="B43" s="107"/>
      <c r="C43" s="111"/>
      <c r="D43" s="111" t="s">
        <v>176</v>
      </c>
      <c r="E43" s="114"/>
      <c r="F43" s="20" t="n">
        <v>329</v>
      </c>
      <c r="G43" s="110"/>
      <c r="H43" s="115"/>
      <c r="I43" s="28"/>
      <c r="J43" s="16" t="s">
        <v>179</v>
      </c>
    </row>
    <row r="44" ht="15.75" customHeight="1">
      <c r="A44" s="116" t="n">
        <v>46176</v>
      </c>
      <c r="B44" s="12" t="n">
        <v>46146</v>
      </c>
      <c r="C44" s="117" t="s">
        <v>152</v>
      </c>
      <c r="D44" s="99" t="s">
        <v>180</v>
      </c>
      <c r="E44" s="21" t="n">
        <v>135.26</v>
      </c>
      <c r="F44" s="101" t="s">
        <v>181</v>
      </c>
      <c r="G44" s="20"/>
      <c r="H44" s="102" t="s">
        <v>182</v>
      </c>
      <c r="I44" s="28"/>
      <c r="J44" s="16" t="n">
        <v>38</v>
      </c>
    </row>
    <row r="45" ht="15.75" customHeight="1">
      <c r="A45" s="116"/>
      <c r="B45" s="12" t="n">
        <v>46149</v>
      </c>
      <c r="C45" s="118"/>
      <c r="D45" s="119"/>
      <c r="E45" s="21" t="n">
        <v>129.29</v>
      </c>
      <c r="F45" s="106"/>
      <c r="G45" s="20"/>
      <c r="H45" s="102" t="s">
        <v>182</v>
      </c>
      <c r="I45" s="28"/>
      <c r="J45" s="16" t="n">
        <v>39</v>
      </c>
    </row>
    <row r="46" ht="15.75" customHeight="1">
      <c r="A46" s="116"/>
      <c r="B46" s="12" t="n">
        <v>46151</v>
      </c>
      <c r="C46" s="118"/>
      <c r="D46" s="119"/>
      <c r="E46" s="21" t="n">
        <v>132.35</v>
      </c>
      <c r="F46" s="106"/>
      <c r="G46" s="20"/>
      <c r="H46" s="102" t="s">
        <v>182</v>
      </c>
      <c r="I46" s="28"/>
      <c r="J46" s="16" t="n">
        <v>40</v>
      </c>
    </row>
    <row r="47" ht="15.75" customHeight="1">
      <c r="A47" s="116"/>
      <c r="B47" s="12" t="n">
        <v>46154</v>
      </c>
      <c r="C47" s="118"/>
      <c r="D47" s="119"/>
      <c r="E47" s="21" t="n">
        <v>137.24</v>
      </c>
      <c r="F47" s="106"/>
      <c r="G47" s="20"/>
      <c r="H47" s="102" t="s">
        <v>182</v>
      </c>
      <c r="I47" s="28"/>
      <c r="J47" s="16" t="n">
        <v>41</v>
      </c>
    </row>
    <row r="48" ht="15.75" customHeight="1">
      <c r="A48" s="116"/>
      <c r="B48" s="12" t="n">
        <v>46157</v>
      </c>
      <c r="C48" s="118"/>
      <c r="D48" s="119"/>
      <c r="E48" s="21" t="n">
        <v>141.85</v>
      </c>
      <c r="F48" s="106"/>
      <c r="G48" s="20"/>
      <c r="H48" s="102" t="s">
        <v>182</v>
      </c>
      <c r="I48" s="28"/>
      <c r="J48" s="16" t="n">
        <v>42</v>
      </c>
    </row>
    <row r="49" ht="15.75" customHeight="1">
      <c r="A49" s="116"/>
      <c r="B49" s="12" t="n">
        <v>46160</v>
      </c>
      <c r="C49" s="118"/>
      <c r="D49" s="119"/>
      <c r="E49" s="21" t="n">
        <v>131.53</v>
      </c>
      <c r="F49" s="106"/>
      <c r="G49" s="20"/>
      <c r="H49" s="102" t="s">
        <v>182</v>
      </c>
      <c r="I49" s="28"/>
      <c r="J49" s="16" t="n">
        <v>43</v>
      </c>
    </row>
    <row r="50" ht="15.75" customHeight="1">
      <c r="A50" s="116"/>
      <c r="B50" s="12" t="n">
        <v>46163</v>
      </c>
      <c r="C50" s="118"/>
      <c r="D50" s="119"/>
      <c r="E50" s="21" t="n">
        <v>126.87</v>
      </c>
      <c r="F50" s="106"/>
      <c r="G50" s="20"/>
      <c r="H50" s="102" t="s">
        <v>182</v>
      </c>
      <c r="I50" s="28"/>
      <c r="J50" s="16" t="n">
        <v>44</v>
      </c>
    </row>
    <row r="51" ht="15.75" customHeight="1">
      <c r="A51" s="116"/>
      <c r="B51" s="12" t="n">
        <v>46165</v>
      </c>
      <c r="C51" s="118"/>
      <c r="D51" s="119"/>
      <c r="E51" s="21" t="n">
        <v>133.78</v>
      </c>
      <c r="F51" s="106"/>
      <c r="G51" s="20"/>
      <c r="H51" s="102" t="s">
        <v>182</v>
      </c>
      <c r="I51" s="28"/>
      <c r="J51" s="16" t="n">
        <v>45</v>
      </c>
    </row>
    <row r="52" ht="15.75" customHeight="1">
      <c r="A52" s="116"/>
      <c r="B52" s="12" t="n">
        <v>46167</v>
      </c>
      <c r="C52" s="118"/>
      <c r="D52" s="119"/>
      <c r="E52" s="21" t="n">
        <v>125.16</v>
      </c>
      <c r="F52" s="106"/>
      <c r="G52" s="20"/>
      <c r="H52" s="102" t="s">
        <v>182</v>
      </c>
      <c r="I52" s="28"/>
      <c r="J52" s="16" t="n">
        <v>46</v>
      </c>
    </row>
    <row r="53" ht="15.75" customHeight="1">
      <c r="A53" s="116"/>
      <c r="B53" s="12" t="n">
        <v>46169</v>
      </c>
      <c r="C53" s="118"/>
      <c r="D53" s="119"/>
      <c r="E53" s="21" t="n">
        <v>123.71</v>
      </c>
      <c r="F53" s="106"/>
      <c r="G53" s="20"/>
      <c r="H53" s="102" t="s">
        <v>182</v>
      </c>
      <c r="I53" s="28"/>
      <c r="J53" s="16" t="n">
        <v>47</v>
      </c>
    </row>
    <row r="54" ht="13.9" customHeight="1">
      <c r="A54" s="120"/>
      <c r="B54" s="12" t="n">
        <v>46172</v>
      </c>
      <c r="C54" s="121"/>
      <c r="D54" s="122"/>
      <c r="E54" s="123" t="n">
        <v>132.68</v>
      </c>
      <c r="F54" s="110"/>
      <c r="G54" s="20"/>
      <c r="H54" s="20" t="s">
        <v>182</v>
      </c>
      <c r="I54" s="36"/>
      <c r="J54" s="16" t="n">
        <v>48</v>
      </c>
    </row>
    <row r="55" ht="18" customHeight="1">
      <c r="A55" s="30"/>
      <c r="B55" s="12"/>
      <c r="C55" s="31"/>
      <c r="D55" s="32"/>
      <c r="E55" s="124"/>
      <c r="F55" s="34"/>
      <c r="G55" s="34"/>
      <c r="H55" s="35"/>
      <c r="I55" s="36"/>
      <c r="J55" s="16"/>
    </row>
    <row r="56" ht="18" customHeight="1">
      <c r="A56" s="30"/>
      <c r="B56" s="30"/>
      <c r="C56" s="31"/>
      <c r="D56" s="32"/>
      <c r="E56" s="124"/>
      <c r="F56" s="34"/>
      <c r="G56" s="34"/>
      <c r="H56" s="35"/>
      <c r="I56" s="36"/>
      <c r="J56" s="16"/>
    </row>
    <row r="57" ht="18" customHeight="1">
      <c r="A57" s="30"/>
      <c r="B57" s="30"/>
      <c r="C57" s="31"/>
      <c r="D57" s="32"/>
      <c r="E57" s="124"/>
      <c r="F57" s="37"/>
      <c r="G57" s="37"/>
      <c r="H57" s="38"/>
      <c r="I57" s="36"/>
      <c r="J57" s="16"/>
    </row>
    <row r="58" ht="18" customHeight="1">
      <c r="A58" s="11" t="s">
        <v>7</v>
      </c>
      <c r="B58" s="39"/>
      <c r="C58" s="40" t="n">
        <f>SUM(E6:E57)</f>
        <v>5094.72</v>
      </c>
      <c r="D58" s="41"/>
      <c r="E58" s="41"/>
      <c r="F58" s="41"/>
      <c r="G58" s="42"/>
      <c r="H58" s="43"/>
      <c r="I58" s="36"/>
      <c r="J58" s="16"/>
    </row>
    <row r="59" ht="18" customHeight="1">
      <c r="A59" s="18" t="s">
        <v>76</v>
      </c>
      <c r="B59" s="44"/>
      <c r="C59" s="45" t="s">
        <v>183</v>
      </c>
      <c r="D59" s="45"/>
      <c r="E59" s="45"/>
      <c r="F59" s="45"/>
      <c r="G59" s="45"/>
      <c r="H59" s="46"/>
      <c r="I59" s="36"/>
      <c r="J59" s="16"/>
    </row>
    <row r="60" ht="13.9" customHeight="1">
      <c r="A60" s="6"/>
      <c r="B60" s="6"/>
      <c r="C60" s="47"/>
      <c r="D60" s="47"/>
      <c r="E60" s="125"/>
      <c r="F60" s="47"/>
    </row>
    <row r="61" ht="18" customHeight="1">
      <c r="A61" s="6"/>
      <c r="B61" s="6"/>
      <c r="C61" s="47"/>
      <c r="D61" s="47"/>
      <c r="F61" s="9" t="s">
        <v>78</v>
      </c>
      <c r="G61" s="8" t="s">
        <v>79</v>
      </c>
    </row>
  </sheetData>
  <mergeCells count="18">
    <mergeCell ref="E42:E43"/>
    <mergeCell ref="G42:G43"/>
    <mergeCell ref="A1:F1"/>
    <mergeCell ref="C6:C41"/>
    <mergeCell ref="D44:D54"/>
    <mergeCell ref="C42:C43"/>
    <mergeCell ref="H42:H43"/>
    <mergeCell ref="F6:F41"/>
    <mergeCell ref="A6:A41"/>
    <mergeCell ref="C58:G58"/>
    <mergeCell ref="B42:B43"/>
    <mergeCell ref="D6:D41"/>
    <mergeCell ref="F44:F54"/>
    <mergeCell ref="G6:G41"/>
    <mergeCell ref="C59:G59"/>
    <mergeCell ref="A44:A54"/>
    <mergeCell ref="D42:D43"/>
    <mergeCell ref="C44:C5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7.998046875" defaultRowHeight="13.8975" customHeight="1"/>
  <cols>
    <col min="1" max="6" width="17.666015625" customWidth="1" style="50"/>
    <col min="7" max="7" width="7.998046875" style="50"/>
    <col min="8" max="8" width="15" customWidth="1" style="50"/>
    <col min="9" max="9" width="25.6640625" customWidth="1" style="50"/>
    <col min="10" max="40" width="7.998046875" style="50"/>
  </cols>
  <sheetData>
    <row r="1" ht="29.649999999999995" customHeight="1">
      <c r="A1" s="48" t="s">
        <v>8</v>
      </c>
      <c r="B1" s="48"/>
      <c r="C1" s="48"/>
      <c r="D1" s="48"/>
      <c r="E1" s="48"/>
      <c r="F1" s="48"/>
    </row>
    <row r="2" ht="13.8975" customHeight="1">
      <c r="A2" s="51"/>
      <c r="B2" s="51"/>
      <c r="C2" s="51"/>
      <c r="D2" s="52"/>
      <c r="E2" s="52"/>
      <c r="F2" s="52"/>
    </row>
    <row r="3" ht="18" customHeight="1">
      <c r="A3" s="54" t="s">
        <v>9</v>
      </c>
      <c r="B3" s="54" t="s">
        <v>79</v>
      </c>
      <c r="C3" s="51"/>
      <c r="D3" s="52"/>
      <c r="E3" s="55" t="s">
        <v>10</v>
      </c>
      <c r="F3" s="127" t="n">
        <v>46178</v>
      </c>
    </row>
    <row r="4" ht="13.8975" customHeight="1">
      <c r="A4" s="51"/>
      <c r="B4" s="51"/>
      <c r="C4" s="52"/>
      <c r="D4" s="52"/>
      <c r="E4" s="52"/>
      <c r="F4" s="52"/>
    </row>
    <row r="5" ht="15.75" customHeight="1">
      <c r="A5" s="56" t="s">
        <v>11</v>
      </c>
      <c r="B5" s="56" t="s">
        <v>12</v>
      </c>
      <c r="C5" s="56" t="s">
        <v>13</v>
      </c>
      <c r="D5" s="56" t="s">
        <v>14</v>
      </c>
      <c r="E5" s="56" t="s">
        <v>15</v>
      </c>
      <c r="F5" s="11" t="s">
        <v>16</v>
      </c>
      <c r="G5" s="11" t="s">
        <v>17</v>
      </c>
      <c r="H5" s="39" t="s">
        <v>18</v>
      </c>
      <c r="I5" s="137" t="s">
        <v>19</v>
      </c>
      <c r="J5" s="137" t="s">
        <v>20</v>
      </c>
    </row>
    <row r="6" ht="15.75" customHeight="1">
      <c r="A6" s="77" t="n">
        <v>46150</v>
      </c>
      <c r="B6" s="77"/>
      <c r="C6" s="128" t="s">
        <v>21</v>
      </c>
      <c r="D6" s="62" t="s">
        <v>103</v>
      </c>
      <c r="E6" s="129" t="n">
        <v>141.9</v>
      </c>
      <c r="F6" s="129" t="n">
        <v>141.9</v>
      </c>
      <c r="G6" s="129"/>
      <c r="H6" s="62" t="s">
        <v>103</v>
      </c>
      <c r="I6" s="138" t="s">
        <v>184</v>
      </c>
      <c r="J6" s="66" t="n">
        <v>9</v>
      </c>
    </row>
    <row r="7" ht="18" customHeight="1">
      <c r="A7" s="77" t="n">
        <v>46153</v>
      </c>
      <c r="B7" s="77"/>
      <c r="C7" s="128" t="s">
        <v>21</v>
      </c>
      <c r="D7" s="62" t="s">
        <v>103</v>
      </c>
      <c r="E7" s="129" t="n">
        <v>198</v>
      </c>
      <c r="F7" s="129" t="n">
        <v>198</v>
      </c>
      <c r="G7" s="129"/>
      <c r="H7" s="62" t="s">
        <v>103</v>
      </c>
      <c r="I7" s="138" t="s">
        <v>185</v>
      </c>
      <c r="J7" s="66" t="n">
        <v>1</v>
      </c>
    </row>
    <row r="8" ht="18" customHeight="1">
      <c r="A8" s="77" t="n">
        <v>46154</v>
      </c>
      <c r="B8" s="77"/>
      <c r="C8" s="128" t="s">
        <v>21</v>
      </c>
      <c r="D8" s="62" t="s">
        <v>103</v>
      </c>
      <c r="E8" s="129" t="n">
        <v>276</v>
      </c>
      <c r="F8" s="129" t="n">
        <v>276</v>
      </c>
      <c r="G8" s="129"/>
      <c r="H8" s="62" t="s">
        <v>103</v>
      </c>
      <c r="I8" s="138" t="s">
        <v>186</v>
      </c>
      <c r="J8" s="66" t="n">
        <v>2</v>
      </c>
    </row>
    <row r="9" ht="18" customHeight="1">
      <c r="A9" s="77" t="n">
        <v>46154</v>
      </c>
      <c r="B9" s="77"/>
      <c r="C9" s="128" t="s">
        <v>21</v>
      </c>
      <c r="D9" s="62" t="s">
        <v>103</v>
      </c>
      <c r="E9" s="129" t="n">
        <v>4386</v>
      </c>
      <c r="F9" s="129" t="n">
        <v>4386</v>
      </c>
      <c r="G9" s="129"/>
      <c r="H9" s="62" t="s">
        <v>103</v>
      </c>
      <c r="I9" s="138" t="s">
        <v>187</v>
      </c>
      <c r="J9" s="66" t="n">
        <v>3</v>
      </c>
    </row>
    <row r="10" ht="18" customHeight="1">
      <c r="A10" s="77" t="n">
        <v>46168</v>
      </c>
      <c r="B10" s="77"/>
      <c r="C10" s="128" t="s">
        <v>21</v>
      </c>
      <c r="D10" s="62" t="s">
        <v>103</v>
      </c>
      <c r="E10" s="129" t="n">
        <v>824</v>
      </c>
      <c r="F10" s="129" t="n">
        <v>824</v>
      </c>
      <c r="G10" s="129"/>
      <c r="H10" s="62" t="s">
        <v>103</v>
      </c>
      <c r="I10" s="138" t="s">
        <v>188</v>
      </c>
      <c r="J10" s="66" t="n">
        <v>4</v>
      </c>
    </row>
    <row r="11" ht="18" customHeight="1">
      <c r="A11" s="77" t="n">
        <v>46168</v>
      </c>
      <c r="B11" s="77"/>
      <c r="C11" s="128" t="s">
        <v>21</v>
      </c>
      <c r="D11" s="62" t="s">
        <v>103</v>
      </c>
      <c r="E11" s="129" t="n">
        <v>326</v>
      </c>
      <c r="F11" s="129" t="n">
        <v>326</v>
      </c>
      <c r="G11" s="129"/>
      <c r="H11" s="62" t="s">
        <v>103</v>
      </c>
      <c r="I11" s="138" t="s">
        <v>186</v>
      </c>
      <c r="J11" s="66" t="n">
        <v>5</v>
      </c>
    </row>
    <row r="12" ht="18" customHeight="1">
      <c r="A12" s="77" t="n">
        <v>46171</v>
      </c>
      <c r="B12" s="77"/>
      <c r="C12" s="128" t="s">
        <v>21</v>
      </c>
      <c r="D12" s="62" t="s">
        <v>103</v>
      </c>
      <c r="E12" s="129" t="n">
        <v>245</v>
      </c>
      <c r="F12" s="129" t="n">
        <v>245</v>
      </c>
      <c r="G12" s="129"/>
      <c r="H12" s="62" t="s">
        <v>103</v>
      </c>
      <c r="I12" s="138" t="s">
        <v>189</v>
      </c>
      <c r="J12" s="66" t="n">
        <v>7</v>
      </c>
    </row>
    <row r="13" ht="18" customHeight="1">
      <c r="A13" s="77" t="n">
        <v>46172</v>
      </c>
      <c r="B13" s="77"/>
      <c r="C13" s="128" t="s">
        <v>21</v>
      </c>
      <c r="D13" s="62" t="s">
        <v>103</v>
      </c>
      <c r="E13" s="129" t="n">
        <v>722</v>
      </c>
      <c r="F13" s="129" t="n">
        <v>722</v>
      </c>
      <c r="G13" s="129"/>
      <c r="H13" s="62" t="s">
        <v>103</v>
      </c>
      <c r="I13" s="138" t="s">
        <v>190</v>
      </c>
      <c r="J13" s="66" t="n">
        <v>6</v>
      </c>
    </row>
    <row r="14" ht="18" customHeight="1">
      <c r="A14" s="77" t="n">
        <v>46177</v>
      </c>
      <c r="B14" s="77"/>
      <c r="C14" s="128" t="s">
        <v>21</v>
      </c>
      <c r="D14" s="62" t="s">
        <v>103</v>
      </c>
      <c r="E14" s="129" t="n">
        <v>161</v>
      </c>
      <c r="F14" s="129" t="n">
        <v>161</v>
      </c>
      <c r="G14" s="129"/>
      <c r="H14" s="62" t="s">
        <v>103</v>
      </c>
      <c r="I14" s="138" t="s">
        <v>191</v>
      </c>
      <c r="J14" s="66" t="n">
        <v>8</v>
      </c>
    </row>
    <row r="15" ht="18" customHeight="1">
      <c r="A15" s="77"/>
      <c r="B15" s="77"/>
      <c r="C15" s="128"/>
      <c r="D15" s="62"/>
      <c r="E15" s="129"/>
      <c r="F15" s="129"/>
      <c r="G15" s="129"/>
      <c r="H15" s="136"/>
      <c r="I15" s="139"/>
      <c r="J15" s="66"/>
    </row>
    <row r="16" ht="18" customHeight="1">
      <c r="A16" s="77"/>
      <c r="B16" s="77"/>
      <c r="C16" s="128"/>
      <c r="D16" s="62"/>
      <c r="E16" s="129"/>
      <c r="F16" s="129"/>
      <c r="G16" s="129"/>
      <c r="H16" s="89"/>
      <c r="I16" s="140"/>
      <c r="J16" s="66"/>
    </row>
    <row r="17" ht="18" customHeight="1">
      <c r="A17" s="56" t="s">
        <v>7</v>
      </c>
      <c r="B17" s="58"/>
      <c r="C17" s="130" t="n">
        <f>SUM(E6:E16)</f>
        <v>7279.9</v>
      </c>
      <c r="D17" s="131"/>
      <c r="E17" s="131"/>
      <c r="F17" s="131"/>
      <c r="G17" s="131"/>
      <c r="H17" s="134"/>
      <c r="I17" s="141"/>
      <c r="J17" s="66"/>
    </row>
    <row r="18" ht="18" customHeight="1">
      <c r="A18" s="68" t="s">
        <v>76</v>
      </c>
      <c r="B18" s="89"/>
      <c r="C18" s="132" t="s">
        <v>192</v>
      </c>
      <c r="D18" s="133"/>
      <c r="E18" s="133"/>
      <c r="F18" s="133"/>
      <c r="G18" s="133"/>
      <c r="H18" s="135"/>
      <c r="I18" s="142"/>
      <c r="J18" s="66"/>
    </row>
    <row r="19" ht="13.8975" customHeight="1">
      <c r="A19" s="51"/>
      <c r="B19" s="51"/>
      <c r="C19" s="95"/>
      <c r="D19" s="95"/>
      <c r="E19" s="95"/>
      <c r="F19" s="95"/>
    </row>
    <row r="20" ht="18" customHeight="1">
      <c r="A20" s="51"/>
      <c r="B20" s="51"/>
      <c r="C20" s="95"/>
      <c r="D20" s="95"/>
      <c r="E20" s="55" t="s">
        <v>78</v>
      </c>
      <c r="F20" s="54" t="s">
        <v>79</v>
      </c>
    </row>
  </sheetData>
  <mergeCells count="3">
    <mergeCell ref="A1:F1"/>
    <mergeCell ref="C18:G18"/>
    <mergeCell ref="C17:G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7.998046875" defaultRowHeight="13.8975" customHeight="1"/>
  <cols>
    <col min="1" max="1" width="13.998046875" customWidth="1" style="50"/>
    <col min="2" max="2" width="11.4990234375" customWidth="1" style="50"/>
    <col min="3" max="3" width="8.666015625" customWidth="1" style="50"/>
    <col min="4" max="4" width="15" customWidth="1" style="50"/>
    <col min="5" max="5" width="12.83203125" customWidth="1" style="50"/>
    <col min="6" max="6" width="7.8310546875" customWidth="1" style="50"/>
    <col min="7" max="7" width="7.998046875" style="50"/>
    <col min="8" max="8" width="15" customWidth="1" style="50"/>
    <col min="9" max="9" width="11.33203125" customWidth="1" style="50"/>
    <col min="10" max="40" width="7.998046875" style="50"/>
  </cols>
  <sheetData>
    <row r="1" ht="29.649999999999995" customHeight="1">
      <c r="A1" s="48" t="s">
        <v>8</v>
      </c>
      <c r="B1" s="48"/>
      <c r="C1" s="48"/>
      <c r="D1" s="48"/>
      <c r="E1" s="48"/>
      <c r="F1" s="48"/>
    </row>
    <row r="2" ht="13.8975" customHeight="1">
      <c r="A2" s="51"/>
      <c r="B2" s="51"/>
      <c r="C2" s="51"/>
      <c r="D2" s="52"/>
      <c r="E2" s="52"/>
      <c r="F2" s="52"/>
    </row>
    <row r="3" ht="18" customHeight="1">
      <c r="A3" s="54" t="s">
        <v>9</v>
      </c>
      <c r="B3" s="54" t="s">
        <v>6</v>
      </c>
      <c r="C3" s="51"/>
      <c r="D3" s="52"/>
      <c r="E3" s="55" t="s">
        <v>10</v>
      </c>
      <c r="F3" s="127" t="n">
        <v>46178</v>
      </c>
    </row>
    <row r="4" ht="13.8975" customHeight="1">
      <c r="A4" s="51"/>
      <c r="B4" s="51"/>
      <c r="C4" s="52"/>
      <c r="D4" s="52"/>
      <c r="E4" s="52"/>
      <c r="F4" s="52"/>
    </row>
    <row r="5" ht="15.75" customHeight="1">
      <c r="A5" s="56" t="s">
        <v>11</v>
      </c>
      <c r="B5" s="56" t="s">
        <v>12</v>
      </c>
      <c r="C5" s="56" t="s">
        <v>13</v>
      </c>
      <c r="D5" s="56" t="s">
        <v>14</v>
      </c>
      <c r="E5" s="56" t="s">
        <v>15</v>
      </c>
      <c r="F5" s="11" t="s">
        <v>16</v>
      </c>
      <c r="G5" s="11" t="s">
        <v>17</v>
      </c>
      <c r="H5" s="39" t="s">
        <v>18</v>
      </c>
      <c r="I5" s="137" t="s">
        <v>19</v>
      </c>
      <c r="J5" s="137" t="s">
        <v>20</v>
      </c>
    </row>
    <row r="6" ht="15.75" customHeight="1">
      <c r="A6" s="143" t="n">
        <v>46155</v>
      </c>
      <c r="B6" s="143" t="n">
        <v>46155</v>
      </c>
      <c r="C6" s="65" t="s">
        <v>21</v>
      </c>
      <c r="D6" s="65" t="s">
        <v>193</v>
      </c>
      <c r="E6" s="129" t="n">
        <v>200</v>
      </c>
      <c r="F6" s="129" t="n">
        <v>200</v>
      </c>
      <c r="G6" s="129"/>
      <c r="H6" s="65" t="s">
        <v>193</v>
      </c>
      <c r="I6" s="138"/>
      <c r="J6" s="66" t="n">
        <v>1</v>
      </c>
    </row>
    <row r="7" ht="18" customHeight="1">
      <c r="A7" s="77"/>
      <c r="B7" s="77"/>
      <c r="C7" s="128"/>
      <c r="D7" s="62"/>
      <c r="E7" s="129"/>
      <c r="F7" s="129"/>
      <c r="G7" s="129"/>
      <c r="H7" s="89"/>
      <c r="I7" s="140"/>
      <c r="J7" s="66"/>
    </row>
    <row r="8" ht="18" customHeight="1">
      <c r="A8" s="56" t="s">
        <v>7</v>
      </c>
      <c r="B8" s="58"/>
      <c r="C8" s="130" t="n">
        <f>SUM(E6:E7)</f>
        <v>200</v>
      </c>
      <c r="D8" s="131"/>
      <c r="E8" s="131"/>
      <c r="F8" s="131"/>
      <c r="G8" s="131"/>
      <c r="H8" s="134"/>
      <c r="I8" s="141"/>
      <c r="J8" s="66"/>
    </row>
    <row r="9" ht="18" customHeight="1">
      <c r="A9" s="68" t="s">
        <v>76</v>
      </c>
      <c r="B9" s="89"/>
      <c r="C9" s="132" t="s">
        <v>192</v>
      </c>
      <c r="D9" s="133"/>
      <c r="E9" s="133"/>
      <c r="F9" s="133"/>
      <c r="G9" s="133"/>
      <c r="H9" s="135"/>
      <c r="I9" s="142"/>
      <c r="J9" s="66"/>
    </row>
    <row r="10" ht="13.8975" customHeight="1">
      <c r="A10" s="51"/>
      <c r="B10" s="51"/>
      <c r="C10" s="95"/>
      <c r="D10" s="95"/>
      <c r="E10" s="95"/>
      <c r="F10" s="95"/>
    </row>
    <row r="11" ht="18" customHeight="1">
      <c r="A11" s="51"/>
      <c r="B11" s="51"/>
      <c r="C11" s="95"/>
      <c r="D11" s="95"/>
      <c r="E11" s="55" t="s">
        <v>78</v>
      </c>
      <c r="F11" s="54" t="s">
        <v>79</v>
      </c>
    </row>
  </sheetData>
  <mergeCells count="3">
    <mergeCell ref="C9:G9"/>
    <mergeCell ref="A1:F1"/>
    <mergeCell ref="C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2026-06-05T14:42:44Z</dcterms:modified>
</cp:coreProperties>
</file>